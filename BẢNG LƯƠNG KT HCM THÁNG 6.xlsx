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5AFFD12-503E-42B3-BF52-3A099F32032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TỔNG LƯƠNG" sheetId="1" r:id="rId1"/>
    <sheet name="DOANH THU KỸ THUẬT" sheetId="2" r:id="rId2"/>
    <sheet name="BẢNG CHẤM CÔNG" sheetId="3" r:id="rId3"/>
    <sheet name="DT ĐẠI LÝ" sheetId="4" r:id="rId4"/>
    <sheet name="PHIẾU LƯƠNG" sheetId="5" r:id="rId5"/>
  </sheets>
  <calcPr calcId="191029"/>
</workbook>
</file>

<file path=xl/calcChain.xml><?xml version="1.0" encoding="utf-8"?>
<calcChain xmlns="http://schemas.openxmlformats.org/spreadsheetml/2006/main">
  <c r="I20" i="4" l="1"/>
  <c r="I21" i="4"/>
  <c r="I22" i="4"/>
  <c r="I23" i="4"/>
  <c r="D60" i="5"/>
  <c r="D52" i="5"/>
  <c r="D51" i="5"/>
  <c r="E46" i="5"/>
  <c r="I40" i="5"/>
  <c r="D37" i="5"/>
  <c r="D40" i="5" s="1"/>
  <c r="I32" i="5"/>
  <c r="D32" i="5"/>
  <c r="I31" i="5"/>
  <c r="D31" i="5"/>
  <c r="J26" i="5"/>
  <c r="E26" i="5"/>
  <c r="I19" i="5"/>
  <c r="D19" i="5"/>
  <c r="D13" i="5"/>
  <c r="I11" i="5"/>
  <c r="D11" i="5"/>
  <c r="I10" i="5"/>
  <c r="D10" i="5"/>
  <c r="H7" i="5"/>
  <c r="J5" i="5"/>
  <c r="E5" i="5"/>
  <c r="I26" i="4"/>
  <c r="I25" i="4"/>
  <c r="I24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O22" i="3"/>
  <c r="O21" i="3"/>
  <c r="O20" i="3"/>
  <c r="AL11" i="3"/>
  <c r="AK11" i="3"/>
  <c r="AM11" i="3" s="1"/>
  <c r="F8" i="1" s="1"/>
  <c r="AJ11" i="3"/>
  <c r="AI11" i="3"/>
  <c r="AL10" i="3"/>
  <c r="AK10" i="3"/>
  <c r="AJ10" i="3"/>
  <c r="AI10" i="3"/>
  <c r="AM10" i="3" s="1"/>
  <c r="F7" i="1" s="1"/>
  <c r="AL9" i="3"/>
  <c r="AK9" i="3"/>
  <c r="AM9" i="3" s="1"/>
  <c r="F6" i="1" s="1"/>
  <c r="AJ9" i="3"/>
  <c r="AI9" i="3"/>
  <c r="AL8" i="3"/>
  <c r="AK8" i="3"/>
  <c r="AJ8" i="3"/>
  <c r="AI8" i="3"/>
  <c r="AM8" i="3" s="1"/>
  <c r="AL7" i="3"/>
  <c r="AK7" i="3"/>
  <c r="AJ7" i="3"/>
  <c r="AI7" i="3"/>
  <c r="AM7" i="3" s="1"/>
  <c r="F4" i="1" s="1"/>
  <c r="D5" i="3"/>
  <c r="D6" i="3" s="1"/>
  <c r="J14" i="2"/>
  <c r="J13" i="2"/>
  <c r="J12" i="2"/>
  <c r="I13" i="5" s="1"/>
  <c r="J11" i="2"/>
  <c r="D34" i="5" s="1"/>
  <c r="J7" i="2"/>
  <c r="H8" i="1" s="1"/>
  <c r="D53" i="5" s="1"/>
  <c r="J6" i="2"/>
  <c r="H5" i="1" s="1"/>
  <c r="I12" i="5" s="1"/>
  <c r="J5" i="2"/>
  <c r="H7" i="1" s="1"/>
  <c r="I33" i="5" s="1"/>
  <c r="J4" i="2"/>
  <c r="H6" i="1" s="1"/>
  <c r="D33" i="5" s="1"/>
  <c r="D54" i="5"/>
  <c r="I34" i="5"/>
  <c r="G5" i="1"/>
  <c r="J27" i="4" l="1"/>
  <c r="J28" i="4" s="1"/>
  <c r="P5" i="1"/>
  <c r="I15" i="1"/>
  <c r="H28" i="5"/>
  <c r="G7" i="1"/>
  <c r="G6" i="1"/>
  <c r="C28" i="5"/>
  <c r="C7" i="5"/>
  <c r="G4" i="1"/>
  <c r="G8" i="1"/>
  <c r="C48" i="5"/>
  <c r="E5" i="3"/>
  <c r="I7" i="5"/>
  <c r="I14" i="5" s="1"/>
  <c r="I20" i="5" s="1"/>
  <c r="H4" i="1" l="1"/>
  <c r="P4" i="1" s="1"/>
  <c r="I28" i="5"/>
  <c r="I35" i="5" s="1"/>
  <c r="I41" i="5" s="1"/>
  <c r="P7" i="1"/>
  <c r="P6" i="1"/>
  <c r="D28" i="5"/>
  <c r="D35" i="5" s="1"/>
  <c r="D41" i="5" s="1"/>
  <c r="F5" i="3"/>
  <c r="E6" i="3"/>
  <c r="D48" i="5"/>
  <c r="D55" i="5" s="1"/>
  <c r="D61" i="5" s="1"/>
  <c r="P8" i="1"/>
  <c r="D7" i="5"/>
  <c r="D12" i="5" l="1"/>
  <c r="D14" i="5" s="1"/>
  <c r="D20" i="5" s="1"/>
  <c r="Q4" i="1"/>
  <c r="F6" i="3"/>
  <c r="G5" i="3"/>
  <c r="G6" i="3" l="1"/>
  <c r="H5" i="3"/>
  <c r="I5" i="3" l="1"/>
  <c r="H6" i="3"/>
  <c r="J5" i="3" l="1"/>
  <c r="I6" i="3"/>
  <c r="K5" i="3" l="1"/>
  <c r="J6" i="3"/>
  <c r="K6" i="3" l="1"/>
  <c r="L5" i="3"/>
  <c r="M5" i="3" l="1"/>
  <c r="L6" i="3"/>
  <c r="N5" i="3" l="1"/>
  <c r="M6" i="3"/>
  <c r="N6" i="3" l="1"/>
  <c r="O5" i="3"/>
  <c r="O6" i="3" l="1"/>
  <c r="P5" i="3"/>
  <c r="P6" i="3" l="1"/>
  <c r="Q5" i="3"/>
  <c r="R5" i="3" l="1"/>
  <c r="Q6" i="3"/>
  <c r="R6" i="3" l="1"/>
  <c r="S5" i="3"/>
  <c r="S6" i="3" l="1"/>
  <c r="T5" i="3"/>
  <c r="U5" i="3" l="1"/>
  <c r="T6" i="3"/>
  <c r="V5" i="3" l="1"/>
  <c r="U6" i="3"/>
  <c r="V6" i="3" l="1"/>
  <c r="W5" i="3"/>
  <c r="W6" i="3" l="1"/>
  <c r="X5" i="3"/>
  <c r="Y5" i="3" l="1"/>
  <c r="X6" i="3"/>
  <c r="Z5" i="3" l="1"/>
  <c r="Y6" i="3"/>
  <c r="Z6" i="3" l="1"/>
  <c r="AA5" i="3"/>
  <c r="AA6" i="3" l="1"/>
  <c r="AB5" i="3"/>
  <c r="AC5" i="3" l="1"/>
  <c r="AB6" i="3"/>
  <c r="AD5" i="3" l="1"/>
  <c r="AC6" i="3"/>
  <c r="AD6" i="3" l="1"/>
  <c r="AE5" i="3"/>
  <c r="AE6" i="3" l="1"/>
  <c r="AF5" i="3"/>
  <c r="AG5" i="3" l="1"/>
  <c r="AF6" i="3"/>
  <c r="AH5" i="3" l="1"/>
  <c r="AH6" i="3" s="1"/>
  <c r="AG6" i="3"/>
</calcChain>
</file>

<file path=xl/sharedStrings.xml><?xml version="1.0" encoding="utf-8"?>
<sst xmlns="http://schemas.openxmlformats.org/spreadsheetml/2006/main" count="522" uniqueCount="186">
  <si>
    <t>BẢNG LƯƠNG BHVT - KỸ THUẬT VÀ KHO HCM - THÁNG 06</t>
  </si>
  <si>
    <t>STT</t>
  </si>
  <si>
    <t>Tên NV</t>
  </si>
  <si>
    <t>Chức vụ</t>
  </si>
  <si>
    <t>Lương và thời gian làm việc</t>
  </si>
  <si>
    <t>Phụ cấp</t>
  </si>
  <si>
    <t>Khấu trừ</t>
  </si>
  <si>
    <t>Thực lĩnh</t>
  </si>
  <si>
    <t>TỔNG CHI</t>
  </si>
  <si>
    <t>Lương cơ bản</t>
  </si>
  <si>
    <t>Số công chuẩn</t>
  </si>
  <si>
    <t>Số công làm thực tế</t>
  </si>
  <si>
    <t>Lương thực nhận</t>
  </si>
  <si>
    <t>Doanh thu</t>
  </si>
  <si>
    <t>Tăng ca</t>
  </si>
  <si>
    <t>Xăng xe đi tỉnh</t>
  </si>
  <si>
    <t>Thưởng</t>
  </si>
  <si>
    <t>Phụ cấp thêm</t>
  </si>
  <si>
    <t>Tạm ứng</t>
  </si>
  <si>
    <t>Trừ khác</t>
  </si>
  <si>
    <t>BHXH</t>
  </si>
  <si>
    <t>ĐỖ THỊ ANH THƯ</t>
  </si>
  <si>
    <t>Điều phối</t>
  </si>
  <si>
    <t>ĐẶNG THÀNH ĐỨC</t>
  </si>
  <si>
    <t>Kho</t>
  </si>
  <si>
    <t>VŨ VĂN GIANG</t>
  </si>
  <si>
    <t>Kỹ thuật</t>
  </si>
  <si>
    <t>LÂM ĐỨC KHẢI</t>
  </si>
  <si>
    <t>ĐẶNG HOÀNG THANH TRƯỜNG</t>
  </si>
  <si>
    <t>Số tài khoản nhân viên</t>
  </si>
  <si>
    <t>DOANH THU THƯ</t>
  </si>
  <si>
    <t>Vũ Văn Giang</t>
  </si>
  <si>
    <t>04001011962060</t>
  </si>
  <si>
    <t>MSB</t>
  </si>
  <si>
    <t>CPQ</t>
  </si>
  <si>
    <t>DT HCM</t>
  </si>
  <si>
    <t>Đặng Thành Đức</t>
  </si>
  <si>
    <t>04301018913163</t>
  </si>
  <si>
    <t>DTDL</t>
  </si>
  <si>
    <t>Lâm Đức Khải</t>
  </si>
  <si>
    <t>1063596692</t>
  </si>
  <si>
    <t>Vietcom</t>
  </si>
  <si>
    <t>MRVU</t>
  </si>
  <si>
    <t>Đỗ Thị Anh Thư</t>
  </si>
  <si>
    <t>0261003469893</t>
  </si>
  <si>
    <t>Tổng cộng</t>
  </si>
  <si>
    <t>Đặng Hoàng Thanh Trường</t>
  </si>
  <si>
    <t>9776609382</t>
  </si>
  <si>
    <t>Viecom</t>
  </si>
  <si>
    <t>DOANH THU LẮP CỦA KT HCM - 06/2026</t>
  </si>
  <si>
    <t>Nhân Viên</t>
  </si>
  <si>
    <t>Lắp quạt thường</t>
  </si>
  <si>
    <t>Lắp tỉnh/trần khó, cao</t>
  </si>
  <si>
    <t>Lắp quạt cây/quạt bàn</t>
  </si>
  <si>
    <t>Lắp quạt lớn (villa, xtreme,..)</t>
  </si>
  <si>
    <r>
      <rPr>
        <b/>
        <sz val="12"/>
        <color rgb="FF1F6166"/>
        <rFont val="Times New Roman"/>
      </rPr>
      <t xml:space="preserve">Spa quạt/Sơn quạt 
</t>
    </r>
    <r>
      <rPr>
        <b/>
        <i/>
        <sz val="9"/>
        <color rgb="FF1F6166"/>
        <rFont val="Times New Roman"/>
      </rPr>
      <t>(Sơn bộ thân ốp hoặc nguyên chiếc)</t>
    </r>
  </si>
  <si>
    <r>
      <rPr>
        <b/>
        <sz val="12"/>
        <color rgb="FF1F6166"/>
        <rFont val="Times New Roman"/>
      </rPr>
      <t xml:space="preserve">Giao hàng/Khảo sát/Sơn quạt
</t>
    </r>
    <r>
      <rPr>
        <b/>
        <i/>
        <sz val="9"/>
        <color rgb="FF1F6166"/>
        <rFont val="Times New Roman"/>
      </rPr>
      <t>(Sơn 3 cánh hoặc bộ ty ốp)</t>
    </r>
  </si>
  <si>
    <t>Bảo hành/gia cố</t>
  </si>
  <si>
    <t>Xăng xe Đi xa Nội thành (Từ 13km)</t>
  </si>
  <si>
    <t>Lương doanh số</t>
  </si>
  <si>
    <t>Nhân Viên
  (Chỉ áp dụng cho KT tự đi xe máy)</t>
  </si>
  <si>
    <t>Đồng Nai, Long an xa, Tiền Giang, BDuong Xa 50km -&gt; 70km</t>
  </si>
  <si>
    <t>Đồng Nai, Tây Ninh,..
 &gt; 70-100km</t>
  </si>
  <si>
    <t>Bình Phước, BRVT,..
 &gt; 100km</t>
  </si>
  <si>
    <t>TỔNG CỘNG</t>
  </si>
  <si>
    <t>Diễn giải</t>
  </si>
  <si>
    <t>11/6 biên hòa</t>
  </si>
  <si>
    <t>16/6 bình dương</t>
  </si>
  <si>
    <t xml:space="preserve">2/6 Biên hòa 
27/6 Long an </t>
  </si>
  <si>
    <t>29/7 biên hòa</t>
  </si>
  <si>
    <t>BẢNG CHẤM CÔNG</t>
  </si>
  <si>
    <t>THÁNG</t>
  </si>
  <si>
    <t>Số công trong tháng làm đủ:</t>
  </si>
  <si>
    <t>NĂM</t>
  </si>
  <si>
    <t>HỌ VÀ TÊN</t>
  </si>
  <si>
    <t>CHỨC VỤ</t>
  </si>
  <si>
    <t>NGÀY TRONG THÁNG</t>
  </si>
  <si>
    <t>TÍNH NGÀY CÔNG</t>
  </si>
  <si>
    <t>Làm nguyên ngày</t>
  </si>
  <si>
    <t>Làm nửa ngày</t>
  </si>
  <si>
    <t>Ngày nghỉ hưởng lương</t>
  </si>
  <si>
    <t>Ngày nghỉ ko lương</t>
  </si>
  <si>
    <t>TỔNG NGÀY CÔNG</t>
  </si>
  <si>
    <t>GHI CHÚ</t>
  </si>
  <si>
    <t>X</t>
  </si>
  <si>
    <t>K</t>
  </si>
  <si>
    <t>thiếu a đức 1 off bù lắp kosmo về tối</t>
  </si>
  <si>
    <t>Ghi chú:</t>
  </si>
  <si>
    <t>Hành chính 8h-17h30</t>
  </si>
  <si>
    <t>TĂNG CA</t>
  </si>
  <si>
    <t>Làn nửa ngày</t>
  </si>
  <si>
    <t>N</t>
  </si>
  <si>
    <t>L</t>
  </si>
  <si>
    <t>Lương tăng ca: x1.5 ngoài giờ</t>
  </si>
  <si>
    <t>DOANH THU ĐẠI LÝ THÁNG 4-5-6</t>
  </si>
  <si>
    <t>ĐẠI LÝ</t>
  </si>
  <si>
    <t>HÓA ĐƠN</t>
  </si>
  <si>
    <t>NGÀY BÁN</t>
  </si>
  <si>
    <t>MÃ SP</t>
  </si>
  <si>
    <t>SL</t>
  </si>
  <si>
    <t>ĐƠN NIÊM YẾT</t>
  </si>
  <si>
    <t>MỨC CK</t>
  </si>
  <si>
    <t>ĐƠN SAU CK</t>
  </si>
  <si>
    <t>THỰC THU</t>
  </si>
  <si>
    <t>Đại lý Nam Dương Thịnh (Quatgio.vn) - HCM</t>
  </si>
  <si>
    <t>HD040181</t>
  </si>
  <si>
    <t>Mega 96</t>
  </si>
  <si>
    <t>HD040184</t>
  </si>
  <si>
    <t>Bộ điều khiển Indus 2m</t>
  </si>
  <si>
    <t>HD040233</t>
  </si>
  <si>
    <t>Mega pro 8 cánh</t>
  </si>
  <si>
    <t>HD008770</t>
  </si>
  <si>
    <t>Tín hiệu mega 96</t>
  </si>
  <si>
    <t>ĐL Thiết Bị Điện Nam Phát B.Chánh - Anh Nam</t>
  </si>
  <si>
    <t>HD040195</t>
  </si>
  <si>
    <t>Rose</t>
  </si>
  <si>
    <t>HD040370</t>
  </si>
  <si>
    <t>Thin 56 nâu</t>
  </si>
  <si>
    <t>HD008799</t>
  </si>
  <si>
    <t>Lotus NL</t>
  </si>
  <si>
    <t>ĐL Hưng Thịnh Phát - chị Ngô Nụ</t>
  </si>
  <si>
    <t>HD040322</t>
  </si>
  <si>
    <t>Thin 40 nâu</t>
  </si>
  <si>
    <t>HD008837</t>
  </si>
  <si>
    <t xml:space="preserve">Strong wn </t>
  </si>
  <si>
    <t>Cty CP Thái An Ecolife</t>
  </si>
  <si>
    <t>HD040329</t>
  </si>
  <si>
    <t>1 lotus 5L 
1 lotus NL</t>
  </si>
  <si>
    <t>TT022654</t>
  </si>
  <si>
    <t xml:space="preserve">Thanh toán tiền mặt </t>
  </si>
  <si>
    <t>TT022691</t>
  </si>
  <si>
    <t>Thanh toán công nợ</t>
  </si>
  <si>
    <t>TT022692</t>
  </si>
  <si>
    <t>HD040529</t>
  </si>
  <si>
    <t>HD040544</t>
  </si>
  <si>
    <t>Slice xám</t>
  </si>
  <si>
    <t xml:space="preserve">công lắp </t>
  </si>
  <si>
    <t>HD040670</t>
  </si>
  <si>
    <t>TT022861</t>
  </si>
  <si>
    <t>TT022862</t>
  </si>
  <si>
    <t>ĐL Đèn Trang Trí 298 Vũng Tàu - Chị Trang</t>
  </si>
  <si>
    <t>HD040392</t>
  </si>
  <si>
    <t>Halo đen</t>
  </si>
  <si>
    <t>Đại lý Nguyễn Giang- 67A Yersin HCM</t>
  </si>
  <si>
    <t>HD040528</t>
  </si>
  <si>
    <t>Candy MP</t>
  </si>
  <si>
    <t>Đại Lý Thiên Đường Ánh Sáng - Chị Nhung</t>
  </si>
  <si>
    <t>HD008893</t>
  </si>
  <si>
    <t xml:space="preserve">đổi bộ dk8 &gt; tín hiệu lotus DC </t>
  </si>
  <si>
    <t xml:space="preserve">Đèn trang trí Thắng Thịnh Phát - Anh Thắng
</t>
  </si>
  <si>
    <t>HD008836</t>
  </si>
  <si>
    <t>Strong Gold</t>
  </si>
  <si>
    <t>Anh Cao Tiến Dũng - Thương Mại</t>
  </si>
  <si>
    <t>HD008826</t>
  </si>
  <si>
    <t>Điều khiển AC 8 Speed</t>
  </si>
  <si>
    <t>DOANH THU DL</t>
  </si>
  <si>
    <t>PHIẾU CHI LƯƠNG</t>
  </si>
  <si>
    <t>PHIẾU LƯƠNG THÁNG 06.2026</t>
  </si>
  <si>
    <t>Năm bắt đầu làm</t>
  </si>
  <si>
    <t>Tháng 3.2018</t>
  </si>
  <si>
    <t>Khu vực</t>
  </si>
  <si>
    <t>HCM</t>
  </si>
  <si>
    <t>Tháng 6.2016</t>
  </si>
  <si>
    <t>Bộ phận</t>
  </si>
  <si>
    <t xml:space="preserve">Điều phối </t>
  </si>
  <si>
    <t>Ngày công</t>
  </si>
  <si>
    <t>Thành tiền</t>
  </si>
  <si>
    <t>Ghi Chú</t>
  </si>
  <si>
    <t>Lương thực tế</t>
  </si>
  <si>
    <t>Tăng ca x1.5</t>
  </si>
  <si>
    <t>Tăng ca x2.0</t>
  </si>
  <si>
    <t>làm điện lắp Giant (8chiec)</t>
  </si>
  <si>
    <t>Thưởng doanh số</t>
  </si>
  <si>
    <t>Xăng xe</t>
  </si>
  <si>
    <t>Tổng lương (1)</t>
  </si>
  <si>
    <t>Quỹ công đoàn</t>
  </si>
  <si>
    <t>Tổng khấu trừ (2)</t>
  </si>
  <si>
    <t>Thực lĩnh (=1-2)</t>
  </si>
  <si>
    <t>MR*VU chân thành cảm ơn sự đóng góp của các bạn !</t>
  </si>
  <si>
    <t>Tháng 4.2019</t>
  </si>
  <si>
    <t>Tháng 4.2023</t>
  </si>
  <si>
    <t>kéo thêm đoạn điện về tụ</t>
  </si>
  <si>
    <t>Công ty Đóng</t>
  </si>
  <si>
    <t>Tháng 3.2026</t>
  </si>
  <si>
    <t>Long An gần, BD, BH,C Chi 
 &lt;50km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</si>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</sst>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dd"/>
    <numFmt numFmtId="167" formatCode="#,##0.0"/>
  </numFmts>
  <fonts count="31" x14ac:knownFonts="1">
    <font>
      <sz val="10"/>
      <color rgb="FF000000"/>
      <name val="Arial"/>
      <scheme val="minor"/>
    </font>
    <font>
      <b/>
      <sz val="12"/>
      <color rgb="FF1A5429"/>
      <name val="Times New Roman"/>
    </font>
    <font>
      <sz val="10"/>
      <name val="Arial"/>
    </font>
    <font>
      <sz val="12"/>
      <color rgb="FF000000"/>
      <name val="Times New Roman"/>
    </font>
    <font>
      <b/>
      <sz val="12"/>
      <name val="Times New Roman"/>
    </font>
    <font>
      <b/>
      <sz val="12"/>
      <color rgb="FF000000"/>
      <name val="Times New Roman"/>
    </font>
    <font>
      <sz val="12"/>
      <name val="Times New Roman"/>
    </font>
    <font>
      <b/>
      <sz val="12"/>
      <color rgb="FFFF0000"/>
      <name val="Times New Roman"/>
    </font>
    <font>
      <b/>
      <sz val="12"/>
      <color rgb="FF1F6166"/>
      <name val="Times New Roman"/>
    </font>
    <font>
      <sz val="12"/>
      <name val="Times New Roman"/>
    </font>
    <font>
      <i/>
      <sz val="12"/>
      <color rgb="FF000000"/>
      <name val="Times New Roman"/>
    </font>
    <font>
      <b/>
      <sz val="12"/>
      <color rgb="FF006600"/>
      <name val="Times New Roman"/>
    </font>
    <font>
      <b/>
      <sz val="18"/>
      <color rgb="FF1A5429"/>
      <name val="Times New Roman"/>
    </font>
    <font>
      <sz val="10"/>
      <color rgb="FF000000"/>
      <name val="Times New Roman"/>
    </font>
    <font>
      <b/>
      <u/>
      <sz val="12"/>
      <color rgb="FF000000"/>
      <name val="Times New Roman"/>
    </font>
    <font>
      <b/>
      <sz val="13"/>
      <color rgb="FF000000"/>
      <name val="Times New Roman"/>
    </font>
    <font>
      <sz val="10"/>
      <color rgb="FF000000"/>
      <name val="Arial"/>
    </font>
    <font>
      <sz val="13"/>
      <color rgb="FF000000"/>
      <name val="Times New Roman"/>
    </font>
    <font>
      <sz val="13"/>
      <color rgb="FF15171A"/>
      <name val="Times New Roman"/>
    </font>
    <font>
      <sz val="11"/>
      <color rgb="FF000000"/>
      <name val="Times New Roman"/>
    </font>
    <font>
      <sz val="11"/>
      <color rgb="FF15171A"/>
      <name val="Arial"/>
    </font>
    <font>
      <b/>
      <sz val="13"/>
      <color rgb="FFFF0000"/>
      <name val="Times New Roman"/>
    </font>
    <font>
      <b/>
      <sz val="18"/>
      <color rgb="FF000000"/>
      <name val="Times New Roman"/>
    </font>
    <font>
      <b/>
      <sz val="11"/>
      <color rgb="FF1A5429"/>
      <name val="Times New Roman"/>
    </font>
    <font>
      <b/>
      <sz val="11"/>
      <name val="Times New Roman"/>
    </font>
    <font>
      <sz val="11"/>
      <name val="Times New Roman"/>
    </font>
    <font>
      <b/>
      <sz val="11"/>
      <color rgb="FF000000"/>
      <name val="Times New Roman"/>
    </font>
    <font>
      <sz val="11"/>
      <color rgb="FFFF0000"/>
      <name val="Times New Roman"/>
    </font>
    <font>
      <b/>
      <i/>
      <sz val="11"/>
      <color rgb="FF1A5429"/>
      <name val="Times New Roman"/>
    </font>
    <font>
      <b/>
      <sz val="11"/>
      <color rgb="FFC00000"/>
      <name val="Times New Roman"/>
    </font>
    <font>
      <b/>
      <i/>
      <sz val="9"/>
      <color rgb="FF1F6166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D9F1F3"/>
        <bgColor rgb="FFD9F1F3"/>
      </patternFill>
    </fill>
    <fill>
      <patternFill patternType="solid">
        <fgColor rgb="FFFEF1CC"/>
        <bgColor rgb="FFFEF1CC"/>
      </patternFill>
    </fill>
    <fill>
      <patternFill patternType="solid">
        <fgColor rgb="FFD2F1DA"/>
        <bgColor rgb="FFD2F1DA"/>
      </patternFill>
    </fill>
    <fill>
      <patternFill patternType="solid">
        <fgColor rgb="FFFEE1CC"/>
        <bgColor rgb="FFFEE1CC"/>
      </patternFill>
    </fill>
    <fill>
      <patternFill patternType="solid">
        <fgColor rgb="FFFFFF00"/>
        <bgColor rgb="FFFFFF00"/>
      </patternFill>
    </fill>
    <fill>
      <patternFill patternType="solid">
        <fgColor rgb="FFB4E4E8"/>
        <bgColor rgb="FFB4E4E8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58">
    <border>
      <left/>
      <right/>
      <top/>
      <bottom/>
      <diagonal/>
    </border>
    <border>
      <left style="medium">
        <color rgb="FF1F6166"/>
      </left>
      <right/>
      <top style="medium">
        <color rgb="FF1F6166"/>
      </top>
      <bottom style="medium">
        <color rgb="FF1F6166"/>
      </bottom>
      <diagonal/>
    </border>
    <border>
      <left/>
      <right/>
      <top style="medium">
        <color rgb="FF1F6166"/>
      </top>
      <bottom style="medium">
        <color rgb="FF1F6166"/>
      </bottom>
      <diagonal/>
    </border>
    <border>
      <left/>
      <right style="medium">
        <color rgb="FF1F6166"/>
      </right>
      <top style="medium">
        <color rgb="FF1F6166"/>
      </top>
      <bottom style="medium">
        <color rgb="FF1F6166"/>
      </bottom>
      <diagonal/>
    </border>
    <border>
      <left style="medium">
        <color rgb="FF1F6166"/>
      </left>
      <right style="medium">
        <color rgb="FF1F6166"/>
      </right>
      <top style="medium">
        <color rgb="FF1F6166"/>
      </top>
      <bottom/>
      <diagonal/>
    </border>
    <border>
      <left style="medium">
        <color rgb="FF1F6166"/>
      </left>
      <right/>
      <top style="medium">
        <color rgb="FF1F6166"/>
      </top>
      <bottom/>
      <diagonal/>
    </border>
    <border>
      <left/>
      <right/>
      <top style="medium">
        <color rgb="FF1F6166"/>
      </top>
      <bottom/>
      <diagonal/>
    </border>
    <border>
      <left/>
      <right style="medium">
        <color rgb="FF1F6166"/>
      </right>
      <top style="medium">
        <color rgb="FF1F6166"/>
      </top>
      <bottom/>
      <diagonal/>
    </border>
    <border>
      <left style="medium">
        <color rgb="FF1F6166"/>
      </left>
      <right style="medium">
        <color rgb="FF1F6166"/>
      </right>
      <top/>
      <bottom/>
      <diagonal/>
    </border>
    <border>
      <left style="medium">
        <color rgb="FF1F6166"/>
      </left>
      <right style="dotted">
        <color rgb="FF1F6166"/>
      </right>
      <top style="dotted">
        <color rgb="FF1F6166"/>
      </top>
      <bottom/>
      <diagonal/>
    </border>
    <border>
      <left style="dotted">
        <color rgb="FF1F6166"/>
      </left>
      <right style="dotted">
        <color rgb="FF1F6166"/>
      </right>
      <top style="dotted">
        <color rgb="FF1F6166"/>
      </top>
      <bottom/>
      <diagonal/>
    </border>
    <border>
      <left style="dotted">
        <color rgb="FF1F6166"/>
      </left>
      <right style="medium">
        <color rgb="FF1F6166"/>
      </right>
      <top style="dotted">
        <color rgb="FF1F6166"/>
      </top>
      <bottom/>
      <diagonal/>
    </border>
    <border>
      <left style="medium">
        <color rgb="FF1F6166"/>
      </left>
      <right style="medium">
        <color rgb="FF1F6166"/>
      </right>
      <top style="dotted">
        <color rgb="FF1F6166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6600"/>
      </left>
      <right style="medium">
        <color rgb="FF006600"/>
      </right>
      <top style="medium">
        <color rgb="FF006600"/>
      </top>
      <bottom style="medium">
        <color rgb="FF006600"/>
      </bottom>
      <diagonal/>
    </border>
    <border>
      <left style="medium">
        <color rgb="FF006600"/>
      </left>
      <right style="medium">
        <color rgb="FF006600"/>
      </right>
      <top style="medium">
        <color rgb="FF006600"/>
      </top>
      <bottom/>
      <diagonal/>
    </border>
    <border>
      <left style="medium">
        <color rgb="FF006600"/>
      </left>
      <right style="medium">
        <color rgb="FF006600"/>
      </right>
      <top/>
      <bottom/>
      <diagonal/>
    </border>
    <border>
      <left style="medium">
        <color rgb="FF006600"/>
      </left>
      <right style="medium">
        <color rgb="FF006600"/>
      </right>
      <top/>
      <bottom style="medium">
        <color rgb="FF006600"/>
      </bottom>
      <diagonal/>
    </border>
    <border>
      <left style="thin">
        <color rgb="FFF28E85"/>
      </left>
      <right/>
      <top style="thin">
        <color rgb="FFF28E85"/>
      </top>
      <bottom style="thin">
        <color rgb="FFF28E85"/>
      </bottom>
      <diagonal/>
    </border>
    <border>
      <left/>
      <right/>
      <top style="thin">
        <color rgb="FFF28E85"/>
      </top>
      <bottom style="thin">
        <color rgb="FFF28E85"/>
      </bottom>
      <diagonal/>
    </border>
    <border>
      <left/>
      <right style="thin">
        <color rgb="FFF28E85"/>
      </right>
      <top style="thin">
        <color rgb="FFF28E85"/>
      </top>
      <bottom style="thin">
        <color rgb="FFF28E85"/>
      </bottom>
      <diagonal/>
    </border>
    <border>
      <left style="thin">
        <color rgb="FFF28E85"/>
      </left>
      <right style="thin">
        <color rgb="FFF28E85"/>
      </right>
      <top style="thin">
        <color rgb="FFF28E85"/>
      </top>
      <bottom style="thin">
        <color rgb="FFF28E85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44">
    <xf numFmtId="0" fontId="0" fillId="0" borderId="0" xfId="0"/>
    <xf numFmtId="0" fontId="3" fillId="0" borderId="0" xfId="0" applyFont="1"/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/>
    </xf>
    <xf numFmtId="0" fontId="3" fillId="0" borderId="13" xfId="0" applyFont="1" applyBorder="1"/>
    <xf numFmtId="0" fontId="3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vertical="center" wrapText="1"/>
    </xf>
    <xf numFmtId="0" fontId="3" fillId="0" borderId="14" xfId="0" applyFont="1" applyBorder="1" applyAlignment="1">
      <alignment vertical="center"/>
    </xf>
    <xf numFmtId="164" fontId="3" fillId="0" borderId="14" xfId="0" applyNumberFormat="1" applyFont="1" applyBorder="1" applyAlignment="1">
      <alignment vertical="center"/>
    </xf>
    <xf numFmtId="164" fontId="3" fillId="0" borderId="14" xfId="0" applyNumberFormat="1" applyFont="1" applyBorder="1" applyAlignment="1">
      <alignment horizontal="right" vertical="center"/>
    </xf>
    <xf numFmtId="165" fontId="3" fillId="0" borderId="14" xfId="0" applyNumberFormat="1" applyFont="1" applyBorder="1" applyAlignment="1">
      <alignment horizontal="center" vertical="center"/>
    </xf>
    <xf numFmtId="164" fontId="3" fillId="0" borderId="14" xfId="0" applyNumberFormat="1" applyFont="1" applyBorder="1" applyAlignment="1">
      <alignment vertical="center" wrapText="1"/>
    </xf>
    <xf numFmtId="164" fontId="1" fillId="0" borderId="14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14" xfId="0" applyFont="1" applyBorder="1" applyAlignment="1">
      <alignment horizontal="left" vertical="center" wrapText="1"/>
    </xf>
    <xf numFmtId="165" fontId="3" fillId="0" borderId="14" xfId="0" applyNumberFormat="1" applyFont="1" applyBorder="1" applyAlignment="1">
      <alignment vertical="center"/>
    </xf>
    <xf numFmtId="3" fontId="3" fillId="0" borderId="14" xfId="0" applyNumberFormat="1" applyFont="1" applyBorder="1" applyAlignment="1">
      <alignment vertical="center"/>
    </xf>
    <xf numFmtId="0" fontId="3" fillId="0" borderId="0" xfId="0" applyFont="1" applyAlignment="1">
      <alignment wrapText="1"/>
    </xf>
    <xf numFmtId="43" fontId="3" fillId="0" borderId="0" xfId="0" applyNumberFormat="1" applyFont="1"/>
    <xf numFmtId="0" fontId="3" fillId="0" borderId="0" xfId="0" applyFont="1" applyAlignment="1">
      <alignment horizontal="left"/>
    </xf>
    <xf numFmtId="0" fontId="3" fillId="0" borderId="21" xfId="0" applyFont="1" applyBorder="1"/>
    <xf numFmtId="0" fontId="3" fillId="0" borderId="21" xfId="0" applyFont="1" applyBorder="1" applyAlignment="1">
      <alignment wrapText="1"/>
    </xf>
    <xf numFmtId="1" fontId="3" fillId="0" borderId="21" xfId="0" quotePrefix="1" applyNumberFormat="1" applyFont="1" applyBorder="1" applyAlignment="1">
      <alignment horizontal="left"/>
    </xf>
    <xf numFmtId="0" fontId="3" fillId="6" borderId="21" xfId="0" applyFont="1" applyFill="1" applyBorder="1"/>
    <xf numFmtId="164" fontId="3" fillId="0" borderId="24" xfId="0" applyNumberFormat="1" applyFont="1" applyBorder="1"/>
    <xf numFmtId="164" fontId="5" fillId="0" borderId="24" xfId="0" applyNumberFormat="1" applyFont="1" applyBorder="1"/>
    <xf numFmtId="0" fontId="3" fillId="0" borderId="21" xfId="0" quotePrefix="1" applyFont="1" applyBorder="1"/>
    <xf numFmtId="0" fontId="3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8" fillId="0" borderId="25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0" fillId="7" borderId="27" xfId="0" applyFont="1" applyFill="1" applyBorder="1" applyAlignment="1">
      <alignment horizontal="center" vertical="center"/>
    </xf>
    <xf numFmtId="3" fontId="10" fillId="7" borderId="27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24" xfId="0" applyFont="1" applyBorder="1" applyAlignment="1">
      <alignment vertical="center"/>
    </xf>
    <xf numFmtId="0" fontId="3" fillId="0" borderId="24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3" fontId="8" fillId="0" borderId="2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28" xfId="0" applyFont="1" applyBorder="1" applyAlignment="1">
      <alignment horizontal="left" vertical="center"/>
    </xf>
    <xf numFmtId="3" fontId="11" fillId="0" borderId="33" xfId="0" applyNumberFormat="1" applyFont="1" applyBorder="1" applyAlignment="1">
      <alignment horizontal="right" vertical="center"/>
    </xf>
    <xf numFmtId="0" fontId="3" fillId="0" borderId="33" xfId="0" applyFont="1" applyBorder="1" applyAlignment="1">
      <alignment vertical="center" wrapText="1"/>
    </xf>
    <xf numFmtId="164" fontId="11" fillId="0" borderId="24" xfId="0" applyNumberFormat="1" applyFont="1" applyBorder="1" applyAlignment="1">
      <alignment horizontal="righ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35" xfId="0" applyFont="1" applyBorder="1" applyAlignment="1">
      <alignment vertical="center"/>
    </xf>
    <xf numFmtId="0" fontId="5" fillId="0" borderId="36" xfId="0" applyFont="1" applyBorder="1" applyAlignment="1">
      <alignment vertical="center"/>
    </xf>
    <xf numFmtId="0" fontId="5" fillId="7" borderId="24" xfId="0" applyFont="1" applyFill="1" applyBorder="1" applyAlignment="1">
      <alignment horizontal="center" vertical="center"/>
    </xf>
    <xf numFmtId="0" fontId="3" fillId="0" borderId="35" xfId="0" applyFont="1" applyBorder="1" applyAlignment="1">
      <alignment vertical="center"/>
    </xf>
    <xf numFmtId="0" fontId="3" fillId="7" borderId="35" xfId="0" applyFont="1" applyFill="1" applyBorder="1" applyAlignment="1">
      <alignment horizontal="left" vertical="center"/>
    </xf>
    <xf numFmtId="166" fontId="5" fillId="0" borderId="24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165" fontId="3" fillId="0" borderId="24" xfId="0" applyNumberFormat="1" applyFont="1" applyBorder="1" applyAlignment="1">
      <alignment horizontal="center" vertical="center" wrapText="1"/>
    </xf>
    <xf numFmtId="165" fontId="1" fillId="0" borderId="24" xfId="0" applyNumberFormat="1" applyFont="1" applyBorder="1" applyAlignment="1">
      <alignment horizontal="center" vertical="center" wrapText="1"/>
    </xf>
    <xf numFmtId="0" fontId="13" fillId="0" borderId="24" xfId="0" applyFont="1" applyBorder="1" applyAlignment="1">
      <alignment vertical="center" wrapText="1"/>
    </xf>
    <xf numFmtId="0" fontId="13" fillId="0" borderId="24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165" fontId="3" fillId="0" borderId="24" xfId="0" applyNumberFormat="1" applyFont="1" applyBorder="1" applyAlignment="1">
      <alignment horizontal="center" vertical="center"/>
    </xf>
    <xf numFmtId="165" fontId="3" fillId="0" borderId="47" xfId="0" applyNumberFormat="1" applyFont="1" applyBorder="1" applyAlignment="1">
      <alignment horizontal="center" vertical="center"/>
    </xf>
    <xf numFmtId="0" fontId="15" fillId="3" borderId="24" xfId="0" applyFont="1" applyFill="1" applyBorder="1" applyAlignment="1">
      <alignment horizontal="center" vertical="center" wrapText="1"/>
    </xf>
    <xf numFmtId="14" fontId="15" fillId="3" borderId="24" xfId="0" applyNumberFormat="1" applyFont="1" applyFill="1" applyBorder="1" applyAlignment="1">
      <alignment horizontal="center" vertical="center" wrapText="1"/>
    </xf>
    <xf numFmtId="164" fontId="15" fillId="3" borderId="24" xfId="0" applyNumberFormat="1" applyFont="1" applyFill="1" applyBorder="1" applyAlignment="1">
      <alignment horizontal="center" vertical="center" wrapText="1"/>
    </xf>
    <xf numFmtId="9" fontId="15" fillId="3" borderId="24" xfId="0" applyNumberFormat="1" applyFont="1" applyFill="1" applyBorder="1" applyAlignment="1">
      <alignment vertical="center" wrapText="1"/>
    </xf>
    <xf numFmtId="0" fontId="15" fillId="3" borderId="24" xfId="0" applyFont="1" applyFill="1" applyBorder="1" applyAlignment="1">
      <alignment horizontal="center" vertical="top" wrapText="1"/>
    </xf>
    <xf numFmtId="0" fontId="16" fillId="0" borderId="50" xfId="0" applyFont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/>
    </xf>
    <xf numFmtId="14" fontId="17" fillId="0" borderId="24" xfId="0" applyNumberFormat="1" applyFont="1" applyBorder="1" applyAlignment="1">
      <alignment vertical="center" wrapText="1"/>
    </xf>
    <xf numFmtId="164" fontId="17" fillId="0" borderId="24" xfId="0" applyNumberFormat="1" applyFont="1" applyBorder="1" applyAlignment="1">
      <alignment vertical="center" wrapText="1"/>
    </xf>
    <xf numFmtId="164" fontId="17" fillId="0" borderId="24" xfId="0" applyNumberFormat="1" applyFont="1" applyBorder="1" applyAlignment="1">
      <alignment horizontal="center" vertical="center" wrapText="1"/>
    </xf>
    <xf numFmtId="9" fontId="17" fillId="0" borderId="24" xfId="0" applyNumberFormat="1" applyFont="1" applyBorder="1" applyAlignment="1">
      <alignment vertical="center" wrapText="1"/>
    </xf>
    <xf numFmtId="0" fontId="19" fillId="0" borderId="24" xfId="0" applyFont="1" applyBorder="1" applyAlignment="1">
      <alignment vertical="top" wrapText="1"/>
    </xf>
    <xf numFmtId="0" fontId="16" fillId="0" borderId="50" xfId="0" applyFont="1" applyBorder="1" applyAlignment="1">
      <alignment vertical="center" wrapText="1"/>
    </xf>
    <xf numFmtId="0" fontId="16" fillId="0" borderId="51" xfId="0" applyFont="1" applyBorder="1" applyAlignment="1">
      <alignment vertical="center" wrapText="1"/>
    </xf>
    <xf numFmtId="0" fontId="17" fillId="0" borderId="24" xfId="0" applyFont="1" applyBorder="1" applyAlignment="1">
      <alignment horizontal="left" vertical="center" wrapText="1"/>
    </xf>
    <xf numFmtId="14" fontId="17" fillId="0" borderId="24" xfId="0" applyNumberFormat="1" applyFont="1" applyBorder="1" applyAlignment="1">
      <alignment horizontal="right" vertical="center" wrapText="1"/>
    </xf>
    <xf numFmtId="0" fontId="17" fillId="0" borderId="22" xfId="0" applyFont="1" applyBorder="1" applyAlignment="1">
      <alignment vertical="center" wrapText="1"/>
    </xf>
    <xf numFmtId="0" fontId="20" fillId="0" borderId="24" xfId="0" applyFont="1" applyBorder="1" applyAlignment="1">
      <alignment horizontal="left"/>
    </xf>
    <xf numFmtId="0" fontId="19" fillId="0" borderId="24" xfId="0" applyFont="1" applyBorder="1" applyAlignment="1">
      <alignment vertical="center" wrapText="1"/>
    </xf>
    <xf numFmtId="0" fontId="17" fillId="0" borderId="24" xfId="0" applyFont="1" applyBorder="1" applyAlignment="1">
      <alignment vertical="center" wrapText="1"/>
    </xf>
    <xf numFmtId="0" fontId="17" fillId="0" borderId="22" xfId="0" applyFont="1" applyBorder="1" applyAlignment="1">
      <alignment horizontal="center" vertical="center" wrapText="1"/>
    </xf>
    <xf numFmtId="164" fontId="15" fillId="8" borderId="24" xfId="0" applyNumberFormat="1" applyFont="1" applyFill="1" applyBorder="1" applyAlignment="1">
      <alignment vertical="center" wrapText="1"/>
    </xf>
    <xf numFmtId="0" fontId="17" fillId="0" borderId="52" xfId="0" applyFont="1" applyBorder="1" applyAlignment="1">
      <alignment horizontal="center" vertical="center" wrapText="1"/>
    </xf>
    <xf numFmtId="164" fontId="21" fillId="8" borderId="24" xfId="0" applyNumberFormat="1" applyFont="1" applyFill="1" applyBorder="1" applyAlignment="1">
      <alignment vertical="center" wrapText="1"/>
    </xf>
    <xf numFmtId="0" fontId="17" fillId="0" borderId="51" xfId="0" applyFont="1" applyBorder="1" applyAlignment="1">
      <alignment horizontal="center" vertical="center" wrapText="1"/>
    </xf>
    <xf numFmtId="0" fontId="17" fillId="0" borderId="53" xfId="0" applyFont="1" applyBorder="1" applyAlignment="1">
      <alignment vertical="center" wrapText="1"/>
    </xf>
    <xf numFmtId="14" fontId="17" fillId="0" borderId="53" xfId="0" applyNumberFormat="1" applyFont="1" applyBorder="1" applyAlignment="1">
      <alignment horizontal="right" vertical="center" wrapText="1"/>
    </xf>
    <xf numFmtId="164" fontId="17" fillId="0" borderId="53" xfId="0" applyNumberFormat="1" applyFont="1" applyBorder="1" applyAlignment="1">
      <alignment vertical="center" wrapText="1"/>
    </xf>
    <xf numFmtId="164" fontId="17" fillId="0" borderId="53" xfId="0" applyNumberFormat="1" applyFont="1" applyBorder="1" applyAlignment="1">
      <alignment horizontal="center" vertical="center" wrapText="1"/>
    </xf>
    <xf numFmtId="9" fontId="17" fillId="0" borderId="53" xfId="0" applyNumberFormat="1" applyFont="1" applyBorder="1" applyAlignment="1">
      <alignment vertical="center" wrapText="1"/>
    </xf>
    <xf numFmtId="0" fontId="19" fillId="0" borderId="51" xfId="0" applyFont="1" applyBorder="1" applyAlignment="1">
      <alignment vertical="top" wrapText="1"/>
    </xf>
    <xf numFmtId="0" fontId="17" fillId="0" borderId="51" xfId="0" applyFont="1" applyBorder="1" applyAlignment="1">
      <alignment vertical="center" wrapText="1"/>
    </xf>
    <xf numFmtId="14" fontId="17" fillId="0" borderId="51" xfId="0" applyNumberFormat="1" applyFont="1" applyBorder="1" applyAlignment="1">
      <alignment horizontal="right" vertical="center" wrapText="1"/>
    </xf>
    <xf numFmtId="164" fontId="17" fillId="0" borderId="51" xfId="0" applyNumberFormat="1" applyFont="1" applyBorder="1" applyAlignment="1">
      <alignment vertical="center" wrapText="1"/>
    </xf>
    <xf numFmtId="164" fontId="17" fillId="0" borderId="51" xfId="0" applyNumberFormat="1" applyFont="1" applyBorder="1" applyAlignment="1">
      <alignment horizontal="center" vertical="center" wrapText="1"/>
    </xf>
    <xf numFmtId="9" fontId="17" fillId="0" borderId="51" xfId="0" applyNumberFormat="1" applyFont="1" applyBorder="1" applyAlignment="1">
      <alignment vertical="center" wrapText="1"/>
    </xf>
    <xf numFmtId="0" fontId="17" fillId="0" borderId="0" xfId="0" applyFont="1" applyAlignment="1">
      <alignment vertical="center"/>
    </xf>
    <xf numFmtId="14" fontId="17" fillId="0" borderId="0" xfId="0" applyNumberFormat="1" applyFont="1" applyAlignment="1">
      <alignment horizontal="right" vertical="center"/>
    </xf>
    <xf numFmtId="164" fontId="17" fillId="0" borderId="0" xfId="0" applyNumberFormat="1" applyFont="1" applyAlignment="1">
      <alignment vertical="center"/>
    </xf>
    <xf numFmtId="164" fontId="17" fillId="0" borderId="0" xfId="0" applyNumberFormat="1" applyFont="1" applyAlignment="1">
      <alignment horizontal="center" vertical="center"/>
    </xf>
    <xf numFmtId="9" fontId="17" fillId="0" borderId="0" xfId="0" applyNumberFormat="1" applyFont="1" applyAlignment="1">
      <alignment vertical="center"/>
    </xf>
    <xf numFmtId="164" fontId="17" fillId="0" borderId="0" xfId="0" applyNumberFormat="1" applyFont="1" applyAlignment="1">
      <alignment vertical="center" wrapText="1"/>
    </xf>
    <xf numFmtId="0" fontId="19" fillId="0" borderId="0" xfId="0" applyFont="1" applyAlignment="1">
      <alignment vertical="top"/>
    </xf>
    <xf numFmtId="0" fontId="16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4" fillId="0" borderId="28" xfId="0" applyFont="1" applyBorder="1" applyAlignment="1">
      <alignment horizontal="left" vertical="center"/>
    </xf>
    <xf numFmtId="0" fontId="25" fillId="0" borderId="33" xfId="0" applyFont="1" applyBorder="1" applyAlignment="1">
      <alignment horizontal="left" vertical="center"/>
    </xf>
    <xf numFmtId="0" fontId="24" fillId="0" borderId="33" xfId="0" applyFont="1" applyBorder="1" applyAlignment="1">
      <alignment horizontal="left" vertical="center"/>
    </xf>
    <xf numFmtId="0" fontId="25" fillId="0" borderId="33" xfId="0" applyFont="1" applyBorder="1" applyAlignment="1">
      <alignment horizontal="center" vertical="center" wrapText="1"/>
    </xf>
    <xf numFmtId="3" fontId="23" fillId="0" borderId="33" xfId="0" applyNumberFormat="1" applyFont="1" applyBorder="1" applyAlignment="1">
      <alignment horizontal="center" vertical="center" wrapText="1"/>
    </xf>
    <xf numFmtId="0" fontId="26" fillId="2" borderId="55" xfId="0" applyFont="1" applyFill="1" applyBorder="1" applyAlignment="1">
      <alignment horizontal="center" vertical="center"/>
    </xf>
    <xf numFmtId="0" fontId="26" fillId="2" borderId="56" xfId="0" applyFont="1" applyFill="1" applyBorder="1" applyAlignment="1">
      <alignment horizontal="center" vertical="center"/>
    </xf>
    <xf numFmtId="0" fontId="26" fillId="0" borderId="28" xfId="0" applyFont="1" applyBorder="1" applyAlignment="1">
      <alignment horizontal="left" vertical="center"/>
    </xf>
    <xf numFmtId="167" fontId="26" fillId="0" borderId="33" xfId="0" applyNumberFormat="1" applyFont="1" applyBorder="1" applyAlignment="1">
      <alignment horizontal="center" vertical="center"/>
    </xf>
    <xf numFmtId="3" fontId="26" fillId="0" borderId="33" xfId="0" applyNumberFormat="1" applyFont="1" applyBorder="1" applyAlignment="1">
      <alignment horizontal="right" vertical="center"/>
    </xf>
    <xf numFmtId="0" fontId="19" fillId="0" borderId="33" xfId="0" applyFont="1" applyBorder="1" applyAlignment="1">
      <alignment horizontal="center" vertical="center" wrapText="1"/>
    </xf>
    <xf numFmtId="3" fontId="26" fillId="0" borderId="33" xfId="0" applyNumberFormat="1" applyFont="1" applyBorder="1" applyAlignment="1">
      <alignment vertical="center"/>
    </xf>
    <xf numFmtId="0" fontId="19" fillId="0" borderId="28" xfId="0" applyFont="1" applyBorder="1" applyAlignment="1">
      <alignment horizontal="left" vertical="center"/>
    </xf>
    <xf numFmtId="0" fontId="19" fillId="0" borderId="33" xfId="0" applyFont="1" applyBorder="1" applyAlignment="1">
      <alignment horizontal="right" vertical="center"/>
    </xf>
    <xf numFmtId="0" fontId="19" fillId="0" borderId="33" xfId="0" applyFont="1" applyBorder="1" applyAlignment="1">
      <alignment vertical="center"/>
    </xf>
    <xf numFmtId="164" fontId="19" fillId="0" borderId="33" xfId="0" applyNumberFormat="1" applyFont="1" applyBorder="1" applyAlignment="1">
      <alignment horizontal="right" vertical="center"/>
    </xf>
    <xf numFmtId="164" fontId="19" fillId="0" borderId="33" xfId="0" applyNumberFormat="1" applyFont="1" applyBorder="1" applyAlignment="1">
      <alignment vertical="center"/>
    </xf>
    <xf numFmtId="0" fontId="19" fillId="0" borderId="28" xfId="0" applyFont="1" applyBorder="1" applyAlignment="1">
      <alignment vertical="center"/>
    </xf>
    <xf numFmtId="3" fontId="19" fillId="0" borderId="33" xfId="0" applyNumberFormat="1" applyFont="1" applyBorder="1" applyAlignment="1">
      <alignment horizontal="right" vertical="center"/>
    </xf>
    <xf numFmtId="3" fontId="19" fillId="0" borderId="33" xfId="0" applyNumberFormat="1" applyFont="1" applyBorder="1" applyAlignment="1">
      <alignment vertical="center"/>
    </xf>
    <xf numFmtId="0" fontId="19" fillId="0" borderId="33" xfId="0" applyFont="1" applyBorder="1" applyAlignment="1">
      <alignment horizontal="center" vertical="center"/>
    </xf>
    <xf numFmtId="0" fontId="26" fillId="0" borderId="55" xfId="0" applyFont="1" applyBorder="1" applyAlignment="1">
      <alignment horizontal="left" vertical="center"/>
    </xf>
    <xf numFmtId="0" fontId="26" fillId="0" borderId="56" xfId="0" applyFont="1" applyBorder="1" applyAlignment="1">
      <alignment horizontal="center" vertical="center"/>
    </xf>
    <xf numFmtId="3" fontId="26" fillId="0" borderId="56" xfId="0" applyNumberFormat="1" applyFont="1" applyBorder="1" applyAlignment="1">
      <alignment horizontal="right" vertical="center"/>
    </xf>
    <xf numFmtId="0" fontId="26" fillId="0" borderId="56" xfId="0" applyFont="1" applyBorder="1" applyAlignment="1">
      <alignment horizontal="center" vertical="center" wrapText="1"/>
    </xf>
    <xf numFmtId="0" fontId="26" fillId="0" borderId="55" xfId="0" applyFont="1" applyBorder="1" applyAlignment="1">
      <alignment vertical="center"/>
    </xf>
    <xf numFmtId="3" fontId="26" fillId="0" borderId="56" xfId="0" applyNumberFormat="1" applyFont="1" applyBorder="1" applyAlignment="1">
      <alignment vertical="center"/>
    </xf>
    <xf numFmtId="0" fontId="19" fillId="0" borderId="28" xfId="0" applyFont="1" applyBorder="1" applyAlignment="1">
      <alignment horizontal="left" vertical="center" wrapText="1"/>
    </xf>
    <xf numFmtId="0" fontId="19" fillId="0" borderId="56" xfId="0" applyFont="1" applyBorder="1" applyAlignment="1">
      <alignment horizontal="center" vertical="center"/>
    </xf>
    <xf numFmtId="3" fontId="19" fillId="0" borderId="56" xfId="0" applyNumberFormat="1" applyFont="1" applyBorder="1" applyAlignment="1">
      <alignment vertical="center"/>
    </xf>
    <xf numFmtId="0" fontId="19" fillId="0" borderId="55" xfId="0" applyFont="1" applyBorder="1" applyAlignment="1">
      <alignment horizontal="left" vertical="center"/>
    </xf>
    <xf numFmtId="0" fontId="19" fillId="0" borderId="56" xfId="0" applyFont="1" applyBorder="1" applyAlignment="1">
      <alignment vertical="center"/>
    </xf>
    <xf numFmtId="0" fontId="19" fillId="0" borderId="24" xfId="0" applyFont="1" applyBorder="1" applyAlignment="1">
      <alignment horizontal="center" vertical="center" wrapText="1"/>
    </xf>
    <xf numFmtId="0" fontId="19" fillId="0" borderId="56" xfId="0" applyFont="1" applyBorder="1" applyAlignment="1">
      <alignment horizontal="right" vertical="center"/>
    </xf>
    <xf numFmtId="0" fontId="19" fillId="0" borderId="56" xfId="0" applyFont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/>
    </xf>
    <xf numFmtId="0" fontId="23" fillId="2" borderId="55" xfId="0" applyFont="1" applyFill="1" applyBorder="1" applyAlignment="1">
      <alignment horizontal="center" vertical="center"/>
    </xf>
    <xf numFmtId="0" fontId="23" fillId="2" borderId="56" xfId="0" applyFont="1" applyFill="1" applyBorder="1" applyAlignment="1">
      <alignment horizontal="center" vertical="center"/>
    </xf>
    <xf numFmtId="3" fontId="23" fillId="2" borderId="56" xfId="0" applyNumberFormat="1" applyFont="1" applyFill="1" applyBorder="1" applyAlignment="1">
      <alignment horizontal="right" vertical="center"/>
    </xf>
    <xf numFmtId="0" fontId="27" fillId="2" borderId="56" xfId="0" applyFont="1" applyFill="1" applyBorder="1" applyAlignment="1">
      <alignment horizontal="center" vertical="center" wrapText="1"/>
    </xf>
    <xf numFmtId="3" fontId="23" fillId="2" borderId="56" xfId="0" applyNumberFormat="1" applyFont="1" applyFill="1" applyBorder="1" applyAlignment="1">
      <alignment vertical="center"/>
    </xf>
    <xf numFmtId="0" fontId="25" fillId="0" borderId="33" xfId="0" applyFont="1" applyBorder="1" applyAlignment="1">
      <alignment horizontal="left" vertical="center" wrapText="1"/>
    </xf>
    <xf numFmtId="3" fontId="23" fillId="0" borderId="33" xfId="0" applyNumberFormat="1" applyFont="1" applyBorder="1" applyAlignment="1">
      <alignment horizontal="left" vertical="center" wrapText="1"/>
    </xf>
    <xf numFmtId="0" fontId="26" fillId="0" borderId="28" xfId="0" applyFont="1" applyBorder="1" applyAlignment="1">
      <alignment vertical="center"/>
    </xf>
    <xf numFmtId="0" fontId="16" fillId="0" borderId="57" xfId="0" applyFont="1" applyBorder="1" applyAlignment="1">
      <alignment vertical="center"/>
    </xf>
    <xf numFmtId="0" fontId="19" fillId="0" borderId="55" xfId="0" applyFont="1" applyBorder="1" applyAlignment="1">
      <alignment vertical="center"/>
    </xf>
    <xf numFmtId="164" fontId="19" fillId="0" borderId="56" xfId="0" applyNumberFormat="1" applyFont="1" applyBorder="1" applyAlignment="1">
      <alignment horizontal="right" vertical="center"/>
    </xf>
    <xf numFmtId="164" fontId="26" fillId="0" borderId="56" xfId="0" applyNumberFormat="1" applyFont="1" applyBorder="1" applyAlignment="1">
      <alignment horizontal="right" vertical="center"/>
    </xf>
    <xf numFmtId="0" fontId="26" fillId="0" borderId="24" xfId="0" applyFont="1" applyBorder="1" applyAlignment="1">
      <alignment vertical="center"/>
    </xf>
    <xf numFmtId="0" fontId="26" fillId="0" borderId="24" xfId="0" applyFont="1" applyBorder="1" applyAlignment="1">
      <alignment horizontal="center" vertical="center"/>
    </xf>
    <xf numFmtId="3" fontId="26" fillId="0" borderId="24" xfId="0" applyNumberFormat="1" applyFont="1" applyBorder="1" applyAlignment="1">
      <alignment horizontal="right" vertical="center"/>
    </xf>
    <xf numFmtId="0" fontId="26" fillId="0" borderId="24" xfId="0" applyFont="1" applyBorder="1" applyAlignment="1">
      <alignment horizontal="center" vertical="center" wrapText="1"/>
    </xf>
    <xf numFmtId="0" fontId="23" fillId="2" borderId="55" xfId="0" applyFont="1" applyFill="1" applyBorder="1" applyAlignment="1">
      <alignment horizontal="left" vertical="center"/>
    </xf>
    <xf numFmtId="0" fontId="29" fillId="2" borderId="56" xfId="0" applyFont="1" applyFill="1" applyBorder="1" applyAlignment="1">
      <alignment horizontal="center" vertical="center"/>
    </xf>
    <xf numFmtId="0" fontId="23" fillId="2" borderId="24" xfId="0" applyFont="1" applyFill="1" applyBorder="1" applyAlignment="1">
      <alignment vertical="center"/>
    </xf>
    <xf numFmtId="0" fontId="29" fillId="2" borderId="24" xfId="0" applyFont="1" applyFill="1" applyBorder="1" applyAlignment="1">
      <alignment horizontal="center" vertical="center"/>
    </xf>
    <xf numFmtId="3" fontId="23" fillId="2" borderId="24" xfId="0" applyNumberFormat="1" applyFont="1" applyFill="1" applyBorder="1" applyAlignment="1">
      <alignment horizontal="right" vertical="center"/>
    </xf>
    <xf numFmtId="0" fontId="27" fillId="2" borderId="2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1" fillId="2" borderId="4" xfId="0" applyFont="1" applyFill="1" applyBorder="1" applyAlignment="1">
      <alignment horizontal="center" vertical="center"/>
    </xf>
    <xf numFmtId="0" fontId="2" fillId="0" borderId="8" xfId="0" applyFont="1" applyBorder="1"/>
    <xf numFmtId="0" fontId="5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64" fontId="7" fillId="0" borderId="15" xfId="0" applyNumberFormat="1" applyFont="1" applyBorder="1" applyAlignment="1">
      <alignment horizontal="center" vertical="center"/>
    </xf>
    <xf numFmtId="0" fontId="2" fillId="0" borderId="16" xfId="0" applyFont="1" applyBorder="1"/>
    <xf numFmtId="0" fontId="2" fillId="0" borderId="17" xfId="0" applyFont="1" applyBorder="1"/>
    <xf numFmtId="164" fontId="5" fillId="0" borderId="22" xfId="0" applyNumberFormat="1" applyFont="1" applyBorder="1" applyAlignment="1">
      <alignment horizontal="center"/>
    </xf>
    <xf numFmtId="0" fontId="2" fillId="0" borderId="13" xfId="0" applyFont="1" applyBorder="1"/>
    <xf numFmtId="0" fontId="5" fillId="0" borderId="22" xfId="0" applyFont="1" applyBorder="1" applyAlignment="1">
      <alignment horizontal="center"/>
    </xf>
    <xf numFmtId="0" fontId="2" fillId="0" borderId="23" xfId="0" applyFont="1" applyBorder="1"/>
    <xf numFmtId="0" fontId="5" fillId="0" borderId="18" xfId="0" applyFont="1" applyBorder="1" applyAlignment="1">
      <alignment horizontal="center"/>
    </xf>
    <xf numFmtId="0" fontId="2" fillId="0" borderId="19" xfId="0" applyFont="1" applyBorder="1"/>
    <xf numFmtId="0" fontId="2" fillId="0" borderId="20" xfId="0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4" fillId="2" borderId="4" xfId="0" applyFont="1" applyFill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2" fillId="0" borderId="30" xfId="0" applyFont="1" applyBorder="1"/>
    <xf numFmtId="0" fontId="8" fillId="0" borderId="26" xfId="0" applyFont="1" applyBorder="1" applyAlignment="1">
      <alignment horizontal="center" vertical="center" wrapText="1"/>
    </xf>
    <xf numFmtId="0" fontId="2" fillId="0" borderId="28" xfId="0" applyFont="1" applyBorder="1"/>
    <xf numFmtId="3" fontId="10" fillId="7" borderId="31" xfId="0" applyNumberFormat="1" applyFont="1" applyFill="1" applyBorder="1" applyAlignment="1">
      <alignment horizontal="center" vertical="center"/>
    </xf>
    <xf numFmtId="0" fontId="2" fillId="0" borderId="32" xfId="0" applyFont="1" applyBorder="1"/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left" vertical="center"/>
    </xf>
    <xf numFmtId="0" fontId="3" fillId="0" borderId="22" xfId="0" applyFont="1" applyBorder="1" applyAlignment="1">
      <alignment horizontal="right" vertical="center"/>
    </xf>
    <xf numFmtId="0" fontId="5" fillId="0" borderId="22" xfId="0" applyFont="1" applyBorder="1" applyAlignment="1">
      <alignment horizontal="right" vertical="center"/>
    </xf>
    <xf numFmtId="0" fontId="5" fillId="2" borderId="26" xfId="0" applyFont="1" applyFill="1" applyBorder="1" applyAlignment="1">
      <alignment horizontal="center" vertical="center"/>
    </xf>
    <xf numFmtId="0" fontId="2" fillId="0" borderId="38" xfId="0" applyFont="1" applyBorder="1"/>
    <xf numFmtId="0" fontId="12" fillId="0" borderId="22" xfId="0" applyFont="1" applyBorder="1" applyAlignment="1">
      <alignment horizontal="center" vertical="center"/>
    </xf>
    <xf numFmtId="0" fontId="2" fillId="0" borderId="34" xfId="0" applyFont="1" applyBorder="1"/>
    <xf numFmtId="164" fontId="3" fillId="0" borderId="22" xfId="0" applyNumberFormat="1" applyFont="1" applyBorder="1" applyAlignment="1">
      <alignment horizontal="center" vertical="center"/>
    </xf>
    <xf numFmtId="0" fontId="2" fillId="0" borderId="43" xfId="0" applyFont="1" applyBorder="1"/>
    <xf numFmtId="0" fontId="3" fillId="0" borderId="42" xfId="0" applyFont="1" applyBorder="1" applyAlignment="1">
      <alignment horizontal="left" vertical="center"/>
    </xf>
    <xf numFmtId="0" fontId="3" fillId="0" borderId="42" xfId="0" applyFont="1" applyBorder="1" applyAlignment="1">
      <alignment horizontal="left" wrapText="1"/>
    </xf>
    <xf numFmtId="0" fontId="5" fillId="0" borderId="42" xfId="0" applyFont="1" applyBorder="1" applyAlignment="1">
      <alignment horizontal="left" vertical="center"/>
    </xf>
    <xf numFmtId="0" fontId="3" fillId="0" borderId="42" xfId="0" applyFont="1" applyBorder="1" applyAlignment="1">
      <alignment horizontal="left"/>
    </xf>
    <xf numFmtId="0" fontId="5" fillId="0" borderId="39" xfId="0" applyFont="1" applyBorder="1" applyAlignment="1">
      <alignment horizontal="center"/>
    </xf>
    <xf numFmtId="0" fontId="2" fillId="0" borderId="40" xfId="0" applyFont="1" applyBorder="1"/>
    <xf numFmtId="0" fontId="2" fillId="0" borderId="41" xfId="0" applyFont="1" applyBorder="1"/>
    <xf numFmtId="0" fontId="3" fillId="0" borderId="44" xfId="0" applyFont="1" applyBorder="1" applyAlignment="1">
      <alignment horizontal="left" vertical="center" wrapText="1"/>
    </xf>
    <xf numFmtId="0" fontId="2" fillId="0" borderId="45" xfId="0" applyFont="1" applyBorder="1"/>
    <xf numFmtId="0" fontId="2" fillId="0" borderId="46" xfId="0" applyFont="1" applyBorder="1"/>
    <xf numFmtId="164" fontId="3" fillId="0" borderId="48" xfId="0" applyNumberFormat="1" applyFont="1" applyBorder="1" applyAlignment="1">
      <alignment horizontal="center" vertical="center"/>
    </xf>
    <xf numFmtId="0" fontId="2" fillId="0" borderId="49" xfId="0" applyFont="1" applyBorder="1"/>
    <xf numFmtId="0" fontId="3" fillId="0" borderId="42" xfId="0" applyFont="1" applyBorder="1" applyAlignment="1">
      <alignment horizontal="left" vertical="center" wrapText="1"/>
    </xf>
    <xf numFmtId="0" fontId="17" fillId="0" borderId="26" xfId="0" applyFont="1" applyBorder="1" applyAlignment="1">
      <alignment horizontal="left" vertical="center" wrapText="1"/>
    </xf>
    <xf numFmtId="0" fontId="17" fillId="0" borderId="26" xfId="0" applyFont="1" applyBorder="1" applyAlignment="1">
      <alignment horizontal="center" vertical="center" wrapText="1"/>
    </xf>
    <xf numFmtId="164" fontId="17" fillId="0" borderId="22" xfId="0" applyNumberFormat="1" applyFont="1" applyBorder="1" applyAlignment="1">
      <alignment horizontal="left" vertical="center" wrapText="1"/>
    </xf>
    <xf numFmtId="14" fontId="17" fillId="0" borderId="26" xfId="0" applyNumberFormat="1" applyFont="1" applyBorder="1" applyAlignment="1">
      <alignment horizontal="center" vertical="center" wrapText="1"/>
    </xf>
    <xf numFmtId="164" fontId="15" fillId="8" borderId="22" xfId="0" applyNumberFormat="1" applyFont="1" applyFill="1" applyBorder="1" applyAlignment="1">
      <alignment horizontal="center" vertical="center" wrapText="1"/>
    </xf>
    <xf numFmtId="0" fontId="21" fillId="8" borderId="22" xfId="0" applyFont="1" applyFill="1" applyBorder="1" applyAlignment="1">
      <alignment horizontal="center" vertical="center" wrapText="1"/>
    </xf>
    <xf numFmtId="0" fontId="17" fillId="0" borderId="22" xfId="0" applyFont="1" applyBorder="1" applyAlignment="1">
      <alignment horizontal="left" vertical="center" wrapText="1"/>
    </xf>
    <xf numFmtId="0" fontId="15" fillId="3" borderId="22" xfId="0" applyFont="1" applyFill="1" applyBorder="1" applyAlignment="1">
      <alignment horizontal="center" vertical="center"/>
    </xf>
    <xf numFmtId="0" fontId="23" fillId="9" borderId="54" xfId="0" applyFont="1" applyFill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3" fillId="9" borderId="22" xfId="0" applyFont="1" applyFill="1" applyBorder="1" applyAlignment="1">
      <alignment horizontal="left" vertical="center"/>
    </xf>
    <xf numFmtId="0" fontId="23" fillId="9" borderId="54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FAD9D6"/>
          <bgColor rgb="FFFAD9D6"/>
        </patternFill>
      </fill>
    </dxf>
    <dxf>
      <fill>
        <patternFill patternType="solid">
          <fgColor rgb="FFFAD9D6"/>
          <bgColor rgb="FFFAD9D6"/>
        </patternFill>
      </fill>
    </dxf>
    <dxf>
      <fill>
        <patternFill patternType="solid">
          <fgColor rgb="FFFAD9D6"/>
          <bgColor rgb="FFFAD9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R100"/>
  <sheetViews>
    <sheetView workbookViewId="0">
      <pane ySplit="3" topLeftCell="A4" activePane="bottomLeft" state="frozen"/>
      <selection pane="bottomLeft" activeCell="H8" sqref="H8"/>
    </sheetView>
  </sheetViews>
  <sheetFormatPr defaultColWidth="14.44140625" defaultRowHeight="15" customHeight="1" x14ac:dyDescent="0.25"/>
  <cols>
    <col min="1" max="1" width="5.6640625" customWidth="1"/>
    <col min="2" max="2" width="27.33203125" customWidth="1"/>
    <col min="3" max="3" width="18.33203125" customWidth="1"/>
    <col min="4" max="4" width="15.109375" customWidth="1"/>
    <col min="5" max="5" width="11.5546875" customWidth="1"/>
    <col min="6" max="6" width="12.33203125" customWidth="1"/>
    <col min="7" max="7" width="18.109375" customWidth="1"/>
    <col min="8" max="8" width="15.109375" customWidth="1"/>
    <col min="9" max="9" width="16.33203125" customWidth="1"/>
    <col min="10" max="10" width="10.33203125" customWidth="1"/>
    <col min="11" max="11" width="9.109375" customWidth="1"/>
    <col min="12" max="12" width="12.88671875" customWidth="1"/>
    <col min="13" max="13" width="11.5546875" customWidth="1"/>
    <col min="14" max="14" width="10" customWidth="1"/>
    <col min="15" max="15" width="13.5546875" customWidth="1"/>
    <col min="16" max="16" width="15.33203125" customWidth="1"/>
    <col min="17" max="17" width="15.5546875" customWidth="1"/>
    <col min="18" max="18" width="9.109375" customWidth="1"/>
  </cols>
  <sheetData>
    <row r="1" spans="1:18" ht="28.5" customHeight="1" x14ac:dyDescent="0.3">
      <c r="A1" s="188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90"/>
      <c r="R1" s="1"/>
    </row>
    <row r="2" spans="1:18" ht="56.25" customHeight="1" x14ac:dyDescent="0.3">
      <c r="A2" s="191" t="s">
        <v>1</v>
      </c>
      <c r="B2" s="191" t="s">
        <v>2</v>
      </c>
      <c r="C2" s="191" t="s">
        <v>3</v>
      </c>
      <c r="D2" s="171" t="s">
        <v>4</v>
      </c>
      <c r="E2" s="172"/>
      <c r="F2" s="172"/>
      <c r="G2" s="173"/>
      <c r="H2" s="171" t="s">
        <v>5</v>
      </c>
      <c r="I2" s="172"/>
      <c r="J2" s="172"/>
      <c r="K2" s="172"/>
      <c r="L2" s="173"/>
      <c r="M2" s="176" t="s">
        <v>6</v>
      </c>
      <c r="N2" s="172"/>
      <c r="O2" s="173"/>
      <c r="P2" s="174" t="s">
        <v>7</v>
      </c>
      <c r="Q2" s="177" t="s">
        <v>8</v>
      </c>
      <c r="R2" s="1"/>
    </row>
    <row r="3" spans="1:18" ht="15.75" customHeight="1" x14ac:dyDescent="0.3">
      <c r="A3" s="175"/>
      <c r="B3" s="175"/>
      <c r="C3" s="175"/>
      <c r="D3" s="2" t="s">
        <v>9</v>
      </c>
      <c r="E3" s="3" t="s">
        <v>10</v>
      </c>
      <c r="F3" s="3" t="s">
        <v>11</v>
      </c>
      <c r="G3" s="4" t="s">
        <v>12</v>
      </c>
      <c r="H3" s="5" t="s">
        <v>13</v>
      </c>
      <c r="I3" s="6" t="s">
        <v>14</v>
      </c>
      <c r="J3" s="7" t="s">
        <v>15</v>
      </c>
      <c r="K3" s="6" t="s">
        <v>16</v>
      </c>
      <c r="L3" s="6" t="s">
        <v>17</v>
      </c>
      <c r="M3" s="8" t="s">
        <v>18</v>
      </c>
      <c r="N3" s="8" t="s">
        <v>19</v>
      </c>
      <c r="O3" s="8" t="s">
        <v>20</v>
      </c>
      <c r="P3" s="175"/>
      <c r="Q3" s="175"/>
      <c r="R3" s="9"/>
    </row>
    <row r="4" spans="1:18" ht="25.5" customHeight="1" x14ac:dyDescent="0.25">
      <c r="A4" s="10">
        <v>1</v>
      </c>
      <c r="B4" s="11" t="s">
        <v>21</v>
      </c>
      <c r="C4" s="12" t="s">
        <v>22</v>
      </c>
      <c r="D4" s="13">
        <v>0</v>
      </c>
      <c r="E4" s="14">
        <v>26</v>
      </c>
      <c r="F4" s="15">
        <f>'BẢNG CHẤM CÔNG'!AM7</f>
        <v>25</v>
      </c>
      <c r="G4" s="13">
        <f t="shared" ref="G4:G8" si="0">(D4/E4)*F4</f>
        <v>0</v>
      </c>
      <c r="H4" s="13">
        <f>I15</f>
        <v>0</v>
      </c>
      <c r="I4" s="13"/>
      <c r="J4" s="16">
        <v>0</v>
      </c>
      <c r="K4" s="13"/>
      <c r="L4" s="13">
        <v>0</v>
      </c>
      <c r="M4" s="13">
        <v>0</v>
      </c>
      <c r="N4" s="13">
        <v>0</v>
      </c>
      <c r="O4" s="13">
        <v>0</v>
      </c>
      <c r="P4" s="17">
        <f t="shared" ref="P4:P8" si="1">G4+(SUM(H4:L4))-(SUM(M4:O4))</f>
        <v>0</v>
      </c>
      <c r="Q4" s="178">
        <f>SUM(P4:P8)</f>
        <v>0</v>
      </c>
      <c r="R4" s="18"/>
    </row>
    <row r="5" spans="1:18" ht="25.5" customHeight="1" x14ac:dyDescent="0.25">
      <c r="A5" s="10">
        <v>2</v>
      </c>
      <c r="B5" s="11" t="s">
        <v>23</v>
      </c>
      <c r="C5" s="12" t="s">
        <v>24</v>
      </c>
      <c r="D5" s="13">
        <v>0</v>
      </c>
      <c r="E5" s="14">
        <v>26</v>
      </c>
      <c r="F5" s="15">
        <v>26</v>
      </c>
      <c r="G5" s="13">
        <f t="shared" si="0"/>
        <v>0</v>
      </c>
      <c r="H5" s="13">
        <f>'DOANH THU KỸ THUẬT'!J6</f>
        <v>0</v>
      </c>
      <c r="I5" s="13"/>
      <c r="J5" s="16">
        <v>0</v>
      </c>
      <c r="K5" s="13"/>
      <c r="L5" s="13">
        <v>0</v>
      </c>
      <c r="M5" s="13">
        <v>0</v>
      </c>
      <c r="N5" s="13">
        <v>0</v>
      </c>
      <c r="O5" s="13">
        <v>0</v>
      </c>
      <c r="P5" s="17">
        <f t="shared" si="1"/>
        <v>0</v>
      </c>
      <c r="Q5" s="179"/>
      <c r="R5" s="18"/>
    </row>
    <row r="6" spans="1:18" ht="25.5" customHeight="1" x14ac:dyDescent="0.25">
      <c r="A6" s="10">
        <v>3</v>
      </c>
      <c r="B6" s="11" t="s">
        <v>25</v>
      </c>
      <c r="C6" s="12" t="s">
        <v>26</v>
      </c>
      <c r="D6" s="13">
        <v>0</v>
      </c>
      <c r="E6" s="14">
        <v>26</v>
      </c>
      <c r="F6" s="15">
        <f>'BẢNG CHẤM CÔNG'!AM9</f>
        <v>21</v>
      </c>
      <c r="G6" s="13">
        <f t="shared" si="0"/>
        <v>0</v>
      </c>
      <c r="H6" s="13">
        <f>'DOANH THU KỸ THUẬT'!J4</f>
        <v>0</v>
      </c>
      <c r="I6" s="13"/>
      <c r="J6" s="16">
        <v>0</v>
      </c>
      <c r="K6" s="13"/>
      <c r="L6" s="13">
        <v>0</v>
      </c>
      <c r="M6" s="13">
        <v>0</v>
      </c>
      <c r="N6" s="13">
        <v>0</v>
      </c>
      <c r="O6" s="13">
        <v>0</v>
      </c>
      <c r="P6" s="17">
        <f t="shared" si="1"/>
        <v>0</v>
      </c>
      <c r="Q6" s="179"/>
      <c r="R6" s="18"/>
    </row>
    <row r="7" spans="1:18" ht="25.5" customHeight="1" x14ac:dyDescent="0.25">
      <c r="A7" s="10">
        <v>4</v>
      </c>
      <c r="B7" s="11" t="s">
        <v>27</v>
      </c>
      <c r="C7" s="12" t="s">
        <v>26</v>
      </c>
      <c r="D7" s="13">
        <v>0</v>
      </c>
      <c r="E7" s="14">
        <v>26</v>
      </c>
      <c r="F7" s="15">
        <f>'BẢNG CHẤM CÔNG'!AM10</f>
        <v>25</v>
      </c>
      <c r="G7" s="13">
        <f t="shared" si="0"/>
        <v>0</v>
      </c>
      <c r="H7" s="13">
        <f>'DOANH THU KỸ THUẬT'!J5</f>
        <v>0</v>
      </c>
      <c r="I7" s="13"/>
      <c r="J7" s="16">
        <v>0</v>
      </c>
      <c r="K7" s="13"/>
      <c r="L7" s="13">
        <v>0</v>
      </c>
      <c r="M7" s="13">
        <v>0</v>
      </c>
      <c r="N7" s="13">
        <v>0</v>
      </c>
      <c r="O7" s="13">
        <v>0</v>
      </c>
      <c r="P7" s="17">
        <f t="shared" si="1"/>
        <v>0</v>
      </c>
      <c r="Q7" s="179"/>
      <c r="R7" s="18"/>
    </row>
    <row r="8" spans="1:18" ht="15.75" customHeight="1" x14ac:dyDescent="0.25">
      <c r="A8" s="10">
        <v>5</v>
      </c>
      <c r="B8" s="19" t="s">
        <v>28</v>
      </c>
      <c r="C8" s="12" t="s">
        <v>26</v>
      </c>
      <c r="D8" s="13">
        <v>0</v>
      </c>
      <c r="E8" s="14">
        <v>26</v>
      </c>
      <c r="F8" s="20">
        <f>'BẢNG CHẤM CÔNG'!AM11</f>
        <v>26</v>
      </c>
      <c r="G8" s="13">
        <f t="shared" si="0"/>
        <v>0</v>
      </c>
      <c r="H8" s="21">
        <f>'DOANH THU KỸ THUẬT'!J7</f>
        <v>0</v>
      </c>
      <c r="I8" s="13"/>
      <c r="J8" s="16">
        <v>0</v>
      </c>
      <c r="K8" s="12"/>
      <c r="L8" s="13">
        <v>0</v>
      </c>
      <c r="M8" s="13">
        <v>0</v>
      </c>
      <c r="N8" s="13">
        <v>0</v>
      </c>
      <c r="O8" s="13">
        <v>0</v>
      </c>
      <c r="P8" s="17">
        <f t="shared" si="1"/>
        <v>0</v>
      </c>
      <c r="Q8" s="180"/>
      <c r="R8" s="18"/>
    </row>
    <row r="9" spans="1:18" ht="15.75" customHeight="1" x14ac:dyDescent="0.3">
      <c r="A9" s="1"/>
      <c r="B9" s="22"/>
      <c r="C9" s="1"/>
      <c r="D9" s="1"/>
      <c r="E9" s="1"/>
      <c r="F9" s="23"/>
      <c r="G9" s="1"/>
      <c r="H9" s="1"/>
      <c r="I9" s="1"/>
      <c r="J9" s="22"/>
      <c r="K9" s="1"/>
      <c r="L9" s="1"/>
      <c r="M9" s="1"/>
      <c r="N9" s="1"/>
      <c r="O9" s="1"/>
      <c r="P9" s="1"/>
      <c r="Q9" s="1"/>
      <c r="R9" s="1"/>
    </row>
    <row r="10" spans="1:18" ht="15.75" customHeight="1" x14ac:dyDescent="0.3">
      <c r="A10" s="1"/>
      <c r="B10" s="22"/>
      <c r="C10" s="24"/>
      <c r="D10" s="24"/>
      <c r="E10" s="1"/>
      <c r="F10" s="1"/>
      <c r="G10" s="1"/>
      <c r="H10" s="1"/>
      <c r="I10" s="1"/>
      <c r="J10" s="22"/>
      <c r="K10" s="1"/>
      <c r="L10" s="1"/>
      <c r="M10" s="1"/>
      <c r="N10" s="1"/>
      <c r="O10" s="1"/>
      <c r="P10" s="1"/>
      <c r="Q10" s="1"/>
      <c r="R10" s="1"/>
    </row>
    <row r="11" spans="1:18" ht="15.75" customHeight="1" x14ac:dyDescent="0.3">
      <c r="A11" s="1"/>
      <c r="B11" s="185" t="s">
        <v>29</v>
      </c>
      <c r="C11" s="186"/>
      <c r="D11" s="187"/>
      <c r="E11" s="25"/>
      <c r="F11" s="1"/>
      <c r="G11" s="183" t="s">
        <v>30</v>
      </c>
      <c r="H11" s="184"/>
      <c r="I11" s="182"/>
      <c r="J11" s="22"/>
      <c r="K11" s="1"/>
      <c r="L11" s="1"/>
      <c r="M11" s="1"/>
      <c r="N11" s="1"/>
      <c r="O11" s="1"/>
      <c r="P11" s="1"/>
      <c r="Q11" s="1"/>
      <c r="R11" s="1"/>
    </row>
    <row r="12" spans="1:18" ht="15.75" customHeight="1" x14ac:dyDescent="0.3">
      <c r="A12" s="1"/>
      <c r="B12" s="26" t="s">
        <v>31</v>
      </c>
      <c r="C12" s="27" t="s">
        <v>32</v>
      </c>
      <c r="D12" s="28" t="s">
        <v>33</v>
      </c>
      <c r="E12" s="25" t="s">
        <v>34</v>
      </c>
      <c r="F12" s="1"/>
      <c r="G12" s="29" t="s">
        <v>35</v>
      </c>
      <c r="H12" s="29">
        <v>0</v>
      </c>
      <c r="I12" s="29">
        <v>0</v>
      </c>
      <c r="J12" s="22"/>
      <c r="K12" s="1"/>
      <c r="L12" s="1"/>
      <c r="M12" s="1"/>
      <c r="N12" s="1"/>
      <c r="O12" s="1"/>
      <c r="P12" s="1"/>
      <c r="Q12" s="1"/>
      <c r="R12" s="1"/>
    </row>
    <row r="13" spans="1:18" ht="15.75" customHeight="1" x14ac:dyDescent="0.3">
      <c r="A13" s="1"/>
      <c r="B13" s="26" t="s">
        <v>36</v>
      </c>
      <c r="C13" s="27" t="s">
        <v>37</v>
      </c>
      <c r="D13" s="28" t="s">
        <v>33</v>
      </c>
      <c r="E13" s="25" t="s">
        <v>34</v>
      </c>
      <c r="F13" s="1"/>
      <c r="G13" s="29" t="s">
        <v>38</v>
      </c>
      <c r="H13" s="29">
        <v>0</v>
      </c>
      <c r="I13" s="29">
        <v>0</v>
      </c>
      <c r="J13" s="22"/>
      <c r="K13" s="1"/>
      <c r="L13" s="1"/>
      <c r="M13" s="1"/>
      <c r="N13" s="1"/>
      <c r="O13" s="1"/>
      <c r="P13" s="1"/>
      <c r="Q13" s="1"/>
      <c r="R13" s="1"/>
    </row>
    <row r="14" spans="1:18" ht="15.75" customHeight="1" x14ac:dyDescent="0.3">
      <c r="A14" s="1"/>
      <c r="B14" s="26" t="s">
        <v>39</v>
      </c>
      <c r="C14" s="27" t="s">
        <v>40</v>
      </c>
      <c r="D14" s="28" t="s">
        <v>41</v>
      </c>
      <c r="E14" s="25" t="s">
        <v>42</v>
      </c>
      <c r="F14" s="1"/>
      <c r="G14" s="29"/>
      <c r="H14" s="29"/>
      <c r="I14" s="29"/>
      <c r="J14" s="22"/>
      <c r="K14" s="1"/>
      <c r="L14" s="1"/>
      <c r="M14" s="1"/>
      <c r="N14" s="1"/>
      <c r="O14" s="1"/>
      <c r="P14" s="1"/>
      <c r="Q14" s="1"/>
      <c r="R14" s="1"/>
    </row>
    <row r="15" spans="1:18" ht="15.75" customHeight="1" x14ac:dyDescent="0.3">
      <c r="A15" s="1"/>
      <c r="B15" s="26" t="s">
        <v>43</v>
      </c>
      <c r="C15" s="27" t="s">
        <v>44</v>
      </c>
      <c r="D15" s="28" t="s">
        <v>41</v>
      </c>
      <c r="E15" s="25" t="s">
        <v>42</v>
      </c>
      <c r="F15" s="1"/>
      <c r="G15" s="181" t="s">
        <v>45</v>
      </c>
      <c r="H15" s="182"/>
      <c r="I15" s="30">
        <f>SUM(I12:I14)</f>
        <v>0</v>
      </c>
      <c r="J15" s="22"/>
      <c r="K15" s="1"/>
      <c r="L15" s="1"/>
      <c r="M15" s="1"/>
      <c r="N15" s="1"/>
      <c r="O15" s="1"/>
      <c r="P15" s="1"/>
      <c r="Q15" s="1"/>
      <c r="R15" s="1"/>
    </row>
    <row r="16" spans="1:18" ht="15.75" customHeight="1" x14ac:dyDescent="0.3">
      <c r="A16" s="1"/>
      <c r="B16" s="26" t="s">
        <v>46</v>
      </c>
      <c r="C16" s="31" t="s">
        <v>47</v>
      </c>
      <c r="D16" s="28" t="s">
        <v>48</v>
      </c>
      <c r="E16" s="26" t="s">
        <v>42</v>
      </c>
      <c r="F16" s="1"/>
      <c r="G16" s="1"/>
      <c r="H16" s="1"/>
      <c r="I16" s="1"/>
      <c r="J16" s="22"/>
      <c r="K16" s="1"/>
      <c r="L16" s="1"/>
      <c r="M16" s="1"/>
      <c r="N16" s="1"/>
      <c r="O16" s="1"/>
      <c r="P16" s="1"/>
      <c r="Q16" s="1"/>
      <c r="R16" s="1"/>
    </row>
    <row r="17" spans="1:18" ht="15.75" customHeight="1" x14ac:dyDescent="0.3">
      <c r="A17" s="1"/>
      <c r="B17" s="22"/>
      <c r="C17" s="1"/>
      <c r="D17" s="1"/>
      <c r="E17" s="1"/>
      <c r="F17" s="1"/>
      <c r="G17" s="1"/>
      <c r="H17" s="1"/>
      <c r="I17" s="1"/>
      <c r="J17" s="22"/>
      <c r="K17" s="1"/>
      <c r="L17" s="1"/>
      <c r="M17" s="1"/>
      <c r="N17" s="1"/>
      <c r="O17" s="1"/>
      <c r="P17" s="1"/>
      <c r="Q17" s="1"/>
      <c r="R17" s="1"/>
    </row>
    <row r="18" spans="1:18" ht="15.75" customHeight="1" x14ac:dyDescent="0.3">
      <c r="A18" s="1"/>
      <c r="B18" s="22"/>
      <c r="C18" s="1"/>
      <c r="D18" s="1"/>
      <c r="E18" s="1"/>
      <c r="F18" s="1"/>
      <c r="G18" s="1"/>
      <c r="H18" s="1"/>
      <c r="I18" s="1"/>
      <c r="J18" s="22"/>
      <c r="K18" s="1"/>
      <c r="L18" s="1"/>
      <c r="M18" s="1"/>
      <c r="N18" s="1"/>
      <c r="O18" s="1"/>
      <c r="P18" s="1"/>
      <c r="Q18" s="1"/>
      <c r="R18" s="1"/>
    </row>
    <row r="19" spans="1:18" ht="15.75" customHeight="1" x14ac:dyDescent="0.3">
      <c r="A19" s="1"/>
      <c r="B19" s="22"/>
      <c r="C19" s="1"/>
      <c r="D19" s="1"/>
      <c r="E19" s="1"/>
      <c r="F19" s="1"/>
      <c r="G19" s="1"/>
      <c r="H19" s="1"/>
      <c r="I19" s="1"/>
      <c r="J19" s="22"/>
      <c r="K19" s="1"/>
      <c r="L19" s="1"/>
      <c r="M19" s="1"/>
      <c r="N19" s="1"/>
      <c r="O19" s="1"/>
      <c r="P19" s="1"/>
      <c r="Q19" s="1"/>
      <c r="R19" s="1"/>
    </row>
    <row r="20" spans="1:18" ht="15.75" customHeight="1" x14ac:dyDescent="0.3">
      <c r="A20" s="1"/>
      <c r="B20" s="22"/>
      <c r="C20" s="1"/>
      <c r="D20" s="1"/>
      <c r="E20" s="1"/>
      <c r="F20" s="1"/>
      <c r="G20" s="1"/>
      <c r="H20" s="1"/>
      <c r="I20" s="1"/>
      <c r="J20" s="22"/>
      <c r="K20" s="1"/>
      <c r="L20" s="1"/>
      <c r="M20" s="1"/>
      <c r="N20" s="1"/>
      <c r="O20" s="1"/>
      <c r="P20" s="1"/>
      <c r="Q20" s="1"/>
      <c r="R20" s="1"/>
    </row>
    <row r="21" spans="1:18" ht="15.75" customHeight="1" x14ac:dyDescent="0.3">
      <c r="A21" s="1"/>
      <c r="B21" s="22"/>
      <c r="C21" s="1"/>
      <c r="D21" s="1"/>
      <c r="E21" s="1"/>
      <c r="F21" s="1"/>
      <c r="G21" s="1"/>
      <c r="H21" s="1"/>
      <c r="I21" s="1"/>
      <c r="J21" s="22"/>
      <c r="K21" s="1"/>
      <c r="L21" s="1"/>
      <c r="M21" s="1"/>
      <c r="N21" s="1"/>
      <c r="O21" s="1"/>
      <c r="P21" s="1"/>
      <c r="Q21" s="1"/>
      <c r="R21" s="1"/>
    </row>
    <row r="22" spans="1:18" ht="15.75" customHeight="1" x14ac:dyDescent="0.3">
      <c r="A22" s="1"/>
      <c r="B22" s="22"/>
      <c r="C22" s="1"/>
      <c r="D22" s="1"/>
      <c r="E22" s="1"/>
      <c r="F22" s="1"/>
      <c r="G22" s="1"/>
      <c r="H22" s="1"/>
      <c r="I22" s="1"/>
      <c r="J22" s="22"/>
      <c r="K22" s="1"/>
      <c r="L22" s="1"/>
      <c r="M22" s="1"/>
      <c r="N22" s="1"/>
      <c r="O22" s="1"/>
      <c r="P22" s="1"/>
      <c r="Q22" s="1"/>
      <c r="R22" s="1"/>
    </row>
    <row r="23" spans="1:18" ht="15.75" customHeight="1" x14ac:dyDescent="0.3">
      <c r="A23" s="1"/>
      <c r="B23" s="22"/>
      <c r="C23" s="1"/>
      <c r="D23" s="1"/>
      <c r="E23" s="1"/>
      <c r="F23" s="1"/>
      <c r="G23" s="1"/>
      <c r="H23" s="1"/>
      <c r="I23" s="1"/>
      <c r="J23" s="22"/>
      <c r="K23" s="1"/>
      <c r="L23" s="1"/>
      <c r="M23" s="1"/>
      <c r="N23" s="1"/>
      <c r="O23" s="1"/>
      <c r="P23" s="1"/>
      <c r="Q23" s="1"/>
      <c r="R23" s="1"/>
    </row>
    <row r="24" spans="1:18" ht="15.75" customHeight="1" x14ac:dyDescent="0.3">
      <c r="A24" s="1"/>
      <c r="B24" s="22"/>
      <c r="C24" s="1"/>
      <c r="D24" s="1"/>
      <c r="E24" s="1"/>
      <c r="F24" s="1"/>
      <c r="G24" s="1"/>
      <c r="H24" s="1"/>
      <c r="I24" s="1"/>
      <c r="J24" s="22"/>
      <c r="K24" s="1"/>
      <c r="L24" s="1"/>
      <c r="M24" s="1"/>
      <c r="N24" s="1"/>
      <c r="O24" s="1"/>
      <c r="P24" s="1"/>
      <c r="Q24" s="1"/>
      <c r="R24" s="1"/>
    </row>
    <row r="25" spans="1:18" ht="15.75" customHeight="1" x14ac:dyDescent="0.3">
      <c r="A25" s="1"/>
      <c r="B25" s="22"/>
      <c r="C25" s="1"/>
      <c r="D25" s="1"/>
      <c r="E25" s="1"/>
      <c r="F25" s="1"/>
      <c r="G25" s="1"/>
      <c r="H25" s="1"/>
      <c r="I25" s="1"/>
      <c r="J25" s="22"/>
      <c r="K25" s="1"/>
      <c r="L25" s="1"/>
      <c r="M25" s="1"/>
      <c r="N25" s="1"/>
      <c r="O25" s="1"/>
      <c r="P25" s="1"/>
      <c r="Q25" s="1"/>
      <c r="R25" s="1"/>
    </row>
    <row r="26" spans="1:18" ht="15.75" customHeight="1" x14ac:dyDescent="0.3">
      <c r="A26" s="1"/>
      <c r="B26" s="22"/>
      <c r="C26" s="1"/>
      <c r="D26" s="1"/>
      <c r="E26" s="1"/>
      <c r="F26" s="1"/>
      <c r="G26" s="1"/>
      <c r="H26" s="1"/>
      <c r="I26" s="1"/>
      <c r="J26" s="22"/>
      <c r="K26" s="1"/>
      <c r="L26" s="1"/>
      <c r="M26" s="1"/>
      <c r="N26" s="1"/>
      <c r="O26" s="1"/>
      <c r="P26" s="1"/>
      <c r="Q26" s="1"/>
      <c r="R26" s="1"/>
    </row>
    <row r="27" spans="1:18" ht="15.75" customHeight="1" x14ac:dyDescent="0.3">
      <c r="A27" s="1"/>
      <c r="B27" s="22"/>
      <c r="C27" s="1"/>
      <c r="D27" s="1"/>
      <c r="E27" s="1"/>
      <c r="F27" s="1"/>
      <c r="G27" s="1"/>
      <c r="H27" s="1"/>
      <c r="I27" s="1"/>
      <c r="J27" s="22"/>
      <c r="K27" s="1"/>
      <c r="L27" s="1"/>
      <c r="M27" s="1"/>
      <c r="N27" s="1"/>
      <c r="O27" s="1"/>
      <c r="P27" s="1"/>
      <c r="Q27" s="1"/>
      <c r="R27" s="1"/>
    </row>
    <row r="28" spans="1:18" ht="15.75" customHeight="1" x14ac:dyDescent="0.3">
      <c r="A28" s="1"/>
      <c r="B28" s="22"/>
      <c r="C28" s="1"/>
      <c r="D28" s="1"/>
      <c r="E28" s="1"/>
      <c r="F28" s="1"/>
      <c r="G28" s="1"/>
      <c r="H28" s="1"/>
      <c r="I28" s="1"/>
      <c r="J28" s="22"/>
      <c r="K28" s="1"/>
      <c r="L28" s="1"/>
      <c r="M28" s="1"/>
      <c r="N28" s="1"/>
      <c r="O28" s="1"/>
      <c r="P28" s="1"/>
      <c r="Q28" s="1"/>
      <c r="R28" s="1"/>
    </row>
    <row r="29" spans="1:18" ht="15.75" customHeight="1" x14ac:dyDescent="0.3">
      <c r="A29" s="1"/>
      <c r="B29" s="22"/>
      <c r="C29" s="1"/>
      <c r="D29" s="1"/>
      <c r="E29" s="1"/>
      <c r="F29" s="1"/>
      <c r="G29" s="1"/>
      <c r="H29" s="1"/>
      <c r="I29" s="1"/>
      <c r="J29" s="22"/>
      <c r="K29" s="1"/>
      <c r="L29" s="1"/>
      <c r="M29" s="1"/>
      <c r="N29" s="1"/>
      <c r="O29" s="1"/>
      <c r="P29" s="1"/>
      <c r="Q29" s="1"/>
      <c r="R29" s="1"/>
    </row>
    <row r="30" spans="1:18" ht="15.75" customHeight="1" x14ac:dyDescent="0.3">
      <c r="A30" s="1"/>
      <c r="B30" s="22"/>
      <c r="C30" s="1"/>
      <c r="D30" s="1"/>
      <c r="E30" s="1"/>
      <c r="F30" s="1"/>
      <c r="G30" s="1"/>
      <c r="H30" s="1"/>
      <c r="I30" s="1"/>
      <c r="J30" s="22"/>
      <c r="K30" s="1"/>
      <c r="L30" s="1"/>
      <c r="M30" s="1"/>
      <c r="N30" s="1"/>
      <c r="O30" s="1"/>
      <c r="P30" s="1"/>
      <c r="Q30" s="1"/>
      <c r="R30" s="1"/>
    </row>
    <row r="31" spans="1:18" ht="15.75" customHeight="1" x14ac:dyDescent="0.3">
      <c r="A31" s="1"/>
      <c r="B31" s="22"/>
      <c r="C31" s="1"/>
      <c r="D31" s="1"/>
      <c r="E31" s="1"/>
      <c r="F31" s="1"/>
      <c r="G31" s="1"/>
      <c r="H31" s="1"/>
      <c r="I31" s="1"/>
      <c r="J31" s="22"/>
      <c r="K31" s="1"/>
      <c r="L31" s="1"/>
      <c r="M31" s="1"/>
      <c r="N31" s="1"/>
      <c r="O31" s="1"/>
      <c r="P31" s="1"/>
      <c r="Q31" s="1"/>
      <c r="R31" s="1"/>
    </row>
    <row r="32" spans="1:18" ht="15.75" customHeight="1" x14ac:dyDescent="0.3">
      <c r="A32" s="1"/>
      <c r="B32" s="22"/>
      <c r="C32" s="1"/>
      <c r="D32" s="1"/>
      <c r="E32" s="1"/>
      <c r="F32" s="1"/>
      <c r="G32" s="1"/>
      <c r="H32" s="1"/>
      <c r="I32" s="1"/>
      <c r="J32" s="22"/>
      <c r="K32" s="1"/>
      <c r="L32" s="1"/>
      <c r="M32" s="1"/>
      <c r="N32" s="1"/>
      <c r="O32" s="1"/>
      <c r="P32" s="1"/>
      <c r="Q32" s="1"/>
      <c r="R32" s="1"/>
    </row>
    <row r="33" spans="1:18" ht="15.75" customHeight="1" x14ac:dyDescent="0.3">
      <c r="A33" s="1"/>
      <c r="B33" s="22"/>
      <c r="C33" s="1"/>
      <c r="D33" s="1"/>
      <c r="E33" s="1"/>
      <c r="F33" s="1"/>
      <c r="G33" s="1"/>
      <c r="H33" s="1"/>
      <c r="I33" s="1"/>
      <c r="J33" s="22"/>
      <c r="K33" s="1"/>
      <c r="L33" s="1"/>
      <c r="M33" s="1"/>
      <c r="N33" s="1"/>
      <c r="O33" s="1"/>
      <c r="P33" s="1"/>
      <c r="Q33" s="1"/>
      <c r="R33" s="1"/>
    </row>
    <row r="34" spans="1:18" ht="15.75" customHeight="1" x14ac:dyDescent="0.3">
      <c r="A34" s="1"/>
      <c r="B34" s="22"/>
      <c r="C34" s="1"/>
      <c r="D34" s="1"/>
      <c r="E34" s="1"/>
      <c r="F34" s="1"/>
      <c r="G34" s="1"/>
      <c r="H34" s="1"/>
      <c r="I34" s="1"/>
      <c r="J34" s="22"/>
      <c r="K34" s="1"/>
      <c r="L34" s="1"/>
      <c r="M34" s="1"/>
      <c r="N34" s="1"/>
      <c r="O34" s="1"/>
      <c r="P34" s="1"/>
      <c r="Q34" s="1"/>
      <c r="R34" s="1"/>
    </row>
    <row r="35" spans="1:18" ht="15.75" customHeight="1" x14ac:dyDescent="0.3">
      <c r="A35" s="1"/>
      <c r="B35" s="22"/>
      <c r="C35" s="1"/>
      <c r="D35" s="1"/>
      <c r="E35" s="1"/>
      <c r="F35" s="1"/>
      <c r="G35" s="1"/>
      <c r="H35" s="1"/>
      <c r="I35" s="1"/>
      <c r="J35" s="22"/>
      <c r="K35" s="1"/>
      <c r="L35" s="1"/>
      <c r="M35" s="1"/>
      <c r="N35" s="1"/>
      <c r="O35" s="1"/>
      <c r="P35" s="1"/>
      <c r="Q35" s="1"/>
      <c r="R35" s="1"/>
    </row>
    <row r="36" spans="1:18" ht="15.75" customHeight="1" x14ac:dyDescent="0.3">
      <c r="A36" s="1"/>
      <c r="B36" s="22"/>
      <c r="C36" s="1"/>
      <c r="D36" s="1"/>
      <c r="E36" s="1"/>
      <c r="F36" s="1"/>
      <c r="G36" s="1"/>
      <c r="H36" s="1"/>
      <c r="I36" s="1"/>
      <c r="J36" s="22"/>
      <c r="K36" s="1"/>
      <c r="L36" s="1"/>
      <c r="M36" s="1"/>
      <c r="N36" s="1"/>
      <c r="O36" s="1"/>
      <c r="P36" s="1"/>
      <c r="Q36" s="1"/>
      <c r="R36" s="1"/>
    </row>
    <row r="37" spans="1:18" ht="15.75" customHeight="1" x14ac:dyDescent="0.3">
      <c r="A37" s="1"/>
      <c r="B37" s="22"/>
      <c r="C37" s="1"/>
      <c r="D37" s="1"/>
      <c r="E37" s="1"/>
      <c r="F37" s="1"/>
      <c r="G37" s="1"/>
      <c r="H37" s="1"/>
      <c r="I37" s="1"/>
      <c r="J37" s="22"/>
      <c r="K37" s="1"/>
      <c r="L37" s="1"/>
      <c r="M37" s="1"/>
      <c r="N37" s="1"/>
      <c r="O37" s="1"/>
      <c r="P37" s="1"/>
      <c r="Q37" s="1"/>
      <c r="R37" s="1"/>
    </row>
    <row r="38" spans="1:18" ht="15.75" customHeight="1" x14ac:dyDescent="0.3">
      <c r="A38" s="1"/>
      <c r="B38" s="22"/>
      <c r="C38" s="1"/>
      <c r="D38" s="1"/>
      <c r="E38" s="1"/>
      <c r="F38" s="1"/>
      <c r="G38" s="1"/>
      <c r="H38" s="1"/>
      <c r="I38" s="1"/>
      <c r="J38" s="22"/>
      <c r="K38" s="1"/>
      <c r="L38" s="1"/>
      <c r="M38" s="1"/>
      <c r="N38" s="1"/>
      <c r="O38" s="1"/>
      <c r="P38" s="1"/>
      <c r="Q38" s="1"/>
      <c r="R38" s="1"/>
    </row>
    <row r="39" spans="1:18" ht="15.75" customHeight="1" x14ac:dyDescent="0.3">
      <c r="A39" s="1"/>
      <c r="B39" s="22"/>
      <c r="C39" s="1"/>
      <c r="D39" s="1"/>
      <c r="E39" s="1"/>
      <c r="F39" s="1"/>
      <c r="G39" s="1"/>
      <c r="H39" s="1"/>
      <c r="I39" s="1"/>
      <c r="J39" s="22"/>
      <c r="K39" s="1"/>
      <c r="L39" s="1"/>
      <c r="M39" s="1"/>
      <c r="N39" s="1"/>
      <c r="O39" s="1"/>
      <c r="P39" s="1"/>
      <c r="Q39" s="1"/>
      <c r="R39" s="1"/>
    </row>
    <row r="40" spans="1:18" ht="15.75" customHeight="1" x14ac:dyDescent="0.3">
      <c r="A40" s="1"/>
      <c r="B40" s="22"/>
      <c r="C40" s="1"/>
      <c r="D40" s="1"/>
      <c r="E40" s="1"/>
      <c r="F40" s="1"/>
      <c r="G40" s="1"/>
      <c r="H40" s="1"/>
      <c r="I40" s="1"/>
      <c r="J40" s="22"/>
      <c r="K40" s="1"/>
      <c r="L40" s="1"/>
      <c r="M40" s="1"/>
      <c r="N40" s="1"/>
      <c r="O40" s="1"/>
      <c r="P40" s="1"/>
      <c r="Q40" s="1"/>
      <c r="R40" s="1"/>
    </row>
    <row r="41" spans="1:18" ht="15.75" customHeight="1" x14ac:dyDescent="0.3">
      <c r="A41" s="1"/>
      <c r="B41" s="22"/>
      <c r="C41" s="1"/>
      <c r="D41" s="1"/>
      <c r="E41" s="1"/>
      <c r="F41" s="1"/>
      <c r="G41" s="1"/>
      <c r="H41" s="1"/>
      <c r="I41" s="1"/>
      <c r="J41" s="22"/>
      <c r="K41" s="1"/>
      <c r="L41" s="1"/>
      <c r="M41" s="1"/>
      <c r="N41" s="1"/>
      <c r="O41" s="1"/>
      <c r="P41" s="1"/>
      <c r="Q41" s="1"/>
      <c r="R41" s="1"/>
    </row>
    <row r="42" spans="1:18" ht="15.75" customHeight="1" x14ac:dyDescent="0.3">
      <c r="A42" s="1"/>
      <c r="B42" s="22"/>
      <c r="C42" s="1"/>
      <c r="D42" s="1"/>
      <c r="E42" s="1"/>
      <c r="F42" s="1"/>
      <c r="G42" s="1"/>
      <c r="H42" s="1"/>
      <c r="I42" s="1"/>
      <c r="J42" s="22"/>
      <c r="K42" s="1"/>
      <c r="L42" s="1"/>
      <c r="M42" s="1"/>
      <c r="N42" s="1"/>
      <c r="O42" s="1"/>
      <c r="P42" s="1"/>
      <c r="Q42" s="1"/>
      <c r="R42" s="1"/>
    </row>
    <row r="43" spans="1:18" ht="15.75" customHeight="1" x14ac:dyDescent="0.3">
      <c r="A43" s="1"/>
      <c r="B43" s="22"/>
      <c r="C43" s="1"/>
      <c r="D43" s="1"/>
      <c r="E43" s="1"/>
      <c r="F43" s="1"/>
      <c r="G43" s="1"/>
      <c r="H43" s="1"/>
      <c r="I43" s="1"/>
      <c r="J43" s="22"/>
      <c r="K43" s="1"/>
      <c r="L43" s="1"/>
      <c r="M43" s="1"/>
      <c r="N43" s="1"/>
      <c r="O43" s="1"/>
      <c r="P43" s="1"/>
      <c r="Q43" s="1"/>
      <c r="R43" s="1"/>
    </row>
    <row r="44" spans="1:18" ht="15.75" customHeight="1" x14ac:dyDescent="0.3">
      <c r="A44" s="1"/>
      <c r="B44" s="22"/>
      <c r="C44" s="1"/>
      <c r="D44" s="1"/>
      <c r="E44" s="1"/>
      <c r="F44" s="1"/>
      <c r="G44" s="1"/>
      <c r="H44" s="1"/>
      <c r="I44" s="1"/>
      <c r="J44" s="22"/>
      <c r="K44" s="1"/>
      <c r="L44" s="1"/>
      <c r="M44" s="1"/>
      <c r="N44" s="1"/>
      <c r="O44" s="1"/>
      <c r="P44" s="1"/>
      <c r="Q44" s="1"/>
      <c r="R44" s="1"/>
    </row>
    <row r="45" spans="1:18" ht="15.75" customHeight="1" x14ac:dyDescent="0.3">
      <c r="A45" s="1"/>
      <c r="B45" s="22"/>
      <c r="C45" s="1"/>
      <c r="D45" s="1"/>
      <c r="E45" s="1"/>
      <c r="F45" s="1"/>
      <c r="G45" s="1"/>
      <c r="H45" s="1"/>
      <c r="I45" s="1"/>
      <c r="J45" s="22"/>
      <c r="K45" s="1"/>
      <c r="L45" s="1"/>
      <c r="M45" s="1"/>
      <c r="N45" s="1"/>
      <c r="O45" s="1"/>
      <c r="P45" s="1"/>
      <c r="Q45" s="1"/>
      <c r="R45" s="1"/>
    </row>
    <row r="46" spans="1:18" ht="15.75" customHeight="1" x14ac:dyDescent="0.3">
      <c r="A46" s="1"/>
      <c r="B46" s="22"/>
      <c r="C46" s="1"/>
      <c r="D46" s="1"/>
      <c r="E46" s="1"/>
      <c r="F46" s="1"/>
      <c r="G46" s="1"/>
      <c r="H46" s="1"/>
      <c r="I46" s="1"/>
      <c r="J46" s="22"/>
      <c r="K46" s="1"/>
      <c r="L46" s="1"/>
      <c r="M46" s="1"/>
      <c r="N46" s="1"/>
      <c r="O46" s="1"/>
      <c r="P46" s="1"/>
      <c r="Q46" s="1"/>
      <c r="R46" s="1"/>
    </row>
    <row r="47" spans="1:18" ht="15.75" customHeight="1" x14ac:dyDescent="0.3">
      <c r="A47" s="1"/>
      <c r="B47" s="22"/>
      <c r="C47" s="1"/>
      <c r="D47" s="1"/>
      <c r="E47" s="1"/>
      <c r="F47" s="1"/>
      <c r="G47" s="1"/>
      <c r="H47" s="1"/>
      <c r="I47" s="1"/>
      <c r="J47" s="22"/>
      <c r="K47" s="1"/>
      <c r="L47" s="1"/>
      <c r="M47" s="1"/>
      <c r="N47" s="1"/>
      <c r="O47" s="1"/>
      <c r="P47" s="1"/>
      <c r="Q47" s="1"/>
      <c r="R47" s="1"/>
    </row>
    <row r="48" spans="1:18" ht="15.75" customHeight="1" x14ac:dyDescent="0.3">
      <c r="A48" s="1"/>
      <c r="B48" s="22"/>
      <c r="C48" s="1"/>
      <c r="D48" s="1"/>
      <c r="E48" s="1"/>
      <c r="F48" s="1"/>
      <c r="G48" s="1"/>
      <c r="H48" s="1"/>
      <c r="I48" s="1"/>
      <c r="J48" s="22"/>
      <c r="K48" s="1"/>
      <c r="L48" s="1"/>
      <c r="M48" s="1"/>
      <c r="N48" s="1"/>
      <c r="O48" s="1"/>
      <c r="P48" s="1"/>
      <c r="Q48" s="1"/>
      <c r="R48" s="1"/>
    </row>
    <row r="49" spans="1:18" ht="15.75" customHeight="1" x14ac:dyDescent="0.3">
      <c r="A49" s="1"/>
      <c r="B49" s="22"/>
      <c r="C49" s="1"/>
      <c r="D49" s="1"/>
      <c r="E49" s="1"/>
      <c r="F49" s="1"/>
      <c r="G49" s="1"/>
      <c r="H49" s="1"/>
      <c r="I49" s="1"/>
      <c r="J49" s="22"/>
      <c r="K49" s="1"/>
      <c r="L49" s="1"/>
      <c r="M49" s="1"/>
      <c r="N49" s="1"/>
      <c r="O49" s="1"/>
      <c r="P49" s="1"/>
      <c r="Q49" s="1"/>
      <c r="R49" s="1"/>
    </row>
    <row r="50" spans="1:18" ht="15.75" customHeight="1" x14ac:dyDescent="0.3">
      <c r="A50" s="1"/>
      <c r="B50" s="22"/>
      <c r="C50" s="1"/>
      <c r="D50" s="1"/>
      <c r="E50" s="1"/>
      <c r="F50" s="1"/>
      <c r="G50" s="1"/>
      <c r="H50" s="1"/>
      <c r="I50" s="1"/>
      <c r="J50" s="22"/>
      <c r="K50" s="1"/>
      <c r="L50" s="1"/>
      <c r="M50" s="1"/>
      <c r="N50" s="1"/>
      <c r="O50" s="1"/>
      <c r="P50" s="1"/>
      <c r="Q50" s="1"/>
      <c r="R50" s="1"/>
    </row>
    <row r="51" spans="1:18" ht="15.75" customHeight="1" x14ac:dyDescent="0.3">
      <c r="A51" s="1"/>
      <c r="B51" s="22"/>
      <c r="C51" s="1"/>
      <c r="D51" s="1"/>
      <c r="E51" s="1"/>
      <c r="F51" s="1"/>
      <c r="G51" s="1"/>
      <c r="H51" s="1"/>
      <c r="I51" s="1"/>
      <c r="J51" s="22"/>
      <c r="K51" s="1"/>
      <c r="L51" s="1"/>
      <c r="M51" s="1"/>
      <c r="N51" s="1"/>
      <c r="O51" s="1"/>
      <c r="P51" s="1"/>
      <c r="Q51" s="1"/>
      <c r="R51" s="1"/>
    </row>
    <row r="52" spans="1:18" ht="15.75" customHeight="1" x14ac:dyDescent="0.3">
      <c r="A52" s="1"/>
      <c r="B52" s="22"/>
      <c r="C52" s="1"/>
      <c r="D52" s="1"/>
      <c r="E52" s="1"/>
      <c r="F52" s="1"/>
      <c r="G52" s="1"/>
      <c r="H52" s="1"/>
      <c r="I52" s="1"/>
      <c r="J52" s="22"/>
      <c r="K52" s="1"/>
      <c r="L52" s="1"/>
      <c r="M52" s="1"/>
      <c r="N52" s="1"/>
      <c r="O52" s="1"/>
      <c r="P52" s="1"/>
      <c r="Q52" s="1"/>
      <c r="R52" s="1"/>
    </row>
    <row r="53" spans="1:18" ht="15.75" customHeight="1" x14ac:dyDescent="0.3">
      <c r="A53" s="1"/>
      <c r="B53" s="22"/>
      <c r="C53" s="1"/>
      <c r="D53" s="1"/>
      <c r="E53" s="1"/>
      <c r="F53" s="1"/>
      <c r="G53" s="1"/>
      <c r="H53" s="1"/>
      <c r="I53" s="1"/>
      <c r="J53" s="22"/>
      <c r="K53" s="1"/>
      <c r="L53" s="1"/>
      <c r="M53" s="1"/>
      <c r="N53" s="1"/>
      <c r="O53" s="1"/>
      <c r="P53" s="1"/>
      <c r="Q53" s="1"/>
      <c r="R53" s="1"/>
    </row>
    <row r="54" spans="1:18" ht="15.75" customHeight="1" x14ac:dyDescent="0.3">
      <c r="A54" s="1"/>
      <c r="B54" s="22"/>
      <c r="C54" s="1"/>
      <c r="D54" s="1"/>
      <c r="E54" s="1"/>
      <c r="F54" s="1"/>
      <c r="G54" s="1"/>
      <c r="H54" s="1"/>
      <c r="I54" s="1"/>
      <c r="J54" s="22"/>
      <c r="K54" s="1"/>
      <c r="L54" s="1"/>
      <c r="M54" s="1"/>
      <c r="N54" s="1"/>
      <c r="O54" s="1"/>
      <c r="P54" s="1"/>
      <c r="Q54" s="1"/>
      <c r="R54" s="1"/>
    </row>
    <row r="55" spans="1:18" ht="15.75" customHeight="1" x14ac:dyDescent="0.3">
      <c r="A55" s="1"/>
      <c r="B55" s="22"/>
      <c r="C55" s="1"/>
      <c r="D55" s="1"/>
      <c r="E55" s="1"/>
      <c r="F55" s="1"/>
      <c r="G55" s="1"/>
      <c r="H55" s="1"/>
      <c r="I55" s="1"/>
      <c r="J55" s="22"/>
      <c r="K55" s="1"/>
      <c r="L55" s="1"/>
      <c r="M55" s="1"/>
      <c r="N55" s="1"/>
      <c r="O55" s="1"/>
      <c r="P55" s="1"/>
      <c r="Q55" s="1"/>
      <c r="R55" s="1"/>
    </row>
    <row r="56" spans="1:18" ht="15.75" customHeight="1" x14ac:dyDescent="0.3">
      <c r="A56" s="1"/>
      <c r="B56" s="22"/>
      <c r="C56" s="1"/>
      <c r="D56" s="1"/>
      <c r="E56" s="1"/>
      <c r="F56" s="1"/>
      <c r="G56" s="1"/>
      <c r="H56" s="1"/>
      <c r="I56" s="1"/>
      <c r="J56" s="22"/>
      <c r="K56" s="1"/>
      <c r="L56" s="1"/>
      <c r="M56" s="1"/>
      <c r="N56" s="1"/>
      <c r="O56" s="1"/>
      <c r="P56" s="1"/>
      <c r="Q56" s="1"/>
      <c r="R56" s="1"/>
    </row>
    <row r="57" spans="1:18" ht="15.75" customHeight="1" x14ac:dyDescent="0.3">
      <c r="A57" s="1"/>
      <c r="B57" s="22"/>
      <c r="C57" s="1"/>
      <c r="D57" s="1"/>
      <c r="E57" s="1"/>
      <c r="F57" s="1"/>
      <c r="G57" s="1"/>
      <c r="H57" s="1"/>
      <c r="I57" s="1"/>
      <c r="J57" s="22"/>
      <c r="K57" s="1"/>
      <c r="L57" s="1"/>
      <c r="M57" s="1"/>
      <c r="N57" s="1"/>
      <c r="O57" s="1"/>
      <c r="P57" s="1"/>
      <c r="Q57" s="1"/>
      <c r="R57" s="1"/>
    </row>
    <row r="58" spans="1:18" ht="15.75" customHeight="1" x14ac:dyDescent="0.3">
      <c r="A58" s="1"/>
      <c r="B58" s="22"/>
      <c r="C58" s="1"/>
      <c r="D58" s="1"/>
      <c r="E58" s="1"/>
      <c r="F58" s="1"/>
      <c r="G58" s="1"/>
      <c r="H58" s="1"/>
      <c r="I58" s="1"/>
      <c r="J58" s="22"/>
      <c r="K58" s="1"/>
      <c r="L58" s="1"/>
      <c r="M58" s="1"/>
      <c r="N58" s="1"/>
      <c r="O58" s="1"/>
      <c r="P58" s="1"/>
      <c r="Q58" s="1"/>
      <c r="R58" s="1"/>
    </row>
    <row r="59" spans="1:18" ht="15.75" customHeight="1" x14ac:dyDescent="0.3">
      <c r="A59" s="1"/>
      <c r="B59" s="22"/>
      <c r="C59" s="1"/>
      <c r="D59" s="1"/>
      <c r="E59" s="1"/>
      <c r="F59" s="1"/>
      <c r="G59" s="1"/>
      <c r="H59" s="1"/>
      <c r="I59" s="1"/>
      <c r="J59" s="22"/>
      <c r="K59" s="1"/>
      <c r="L59" s="1"/>
      <c r="M59" s="1"/>
      <c r="N59" s="1"/>
      <c r="O59" s="1"/>
      <c r="P59" s="1"/>
      <c r="Q59" s="1"/>
      <c r="R59" s="1"/>
    </row>
    <row r="60" spans="1:18" ht="15.75" customHeight="1" x14ac:dyDescent="0.3">
      <c r="A60" s="1"/>
      <c r="B60" s="22"/>
      <c r="C60" s="1"/>
      <c r="D60" s="1"/>
      <c r="E60" s="1"/>
      <c r="F60" s="1"/>
      <c r="G60" s="1"/>
      <c r="H60" s="1"/>
      <c r="I60" s="1"/>
      <c r="J60" s="22"/>
      <c r="K60" s="1"/>
      <c r="L60" s="1"/>
      <c r="M60" s="1"/>
      <c r="N60" s="1"/>
      <c r="O60" s="1"/>
      <c r="P60" s="1"/>
      <c r="Q60" s="1"/>
      <c r="R60" s="1"/>
    </row>
    <row r="61" spans="1:18" ht="15.75" customHeight="1" x14ac:dyDescent="0.3">
      <c r="A61" s="1"/>
      <c r="B61" s="22"/>
      <c r="C61" s="1"/>
      <c r="D61" s="1"/>
      <c r="E61" s="1"/>
      <c r="F61" s="1"/>
      <c r="G61" s="1"/>
      <c r="H61" s="1"/>
      <c r="I61" s="1"/>
      <c r="J61" s="22"/>
      <c r="K61" s="1"/>
      <c r="L61" s="1"/>
      <c r="M61" s="1"/>
      <c r="N61" s="1"/>
      <c r="O61" s="1"/>
      <c r="P61" s="1"/>
      <c r="Q61" s="1"/>
      <c r="R61" s="1"/>
    </row>
    <row r="62" spans="1:18" ht="15.75" customHeight="1" x14ac:dyDescent="0.3">
      <c r="A62" s="1"/>
      <c r="B62" s="22"/>
      <c r="C62" s="1"/>
      <c r="D62" s="1"/>
      <c r="E62" s="1"/>
      <c r="F62" s="1"/>
      <c r="G62" s="1"/>
      <c r="H62" s="1"/>
      <c r="I62" s="1"/>
      <c r="J62" s="22"/>
      <c r="K62" s="1"/>
      <c r="L62" s="1"/>
      <c r="M62" s="1"/>
      <c r="N62" s="1"/>
      <c r="O62" s="1"/>
      <c r="P62" s="1"/>
      <c r="Q62" s="1"/>
      <c r="R62" s="1"/>
    </row>
    <row r="63" spans="1:18" ht="15.75" customHeight="1" x14ac:dyDescent="0.3">
      <c r="A63" s="1"/>
      <c r="B63" s="22"/>
      <c r="C63" s="1"/>
      <c r="D63" s="1"/>
      <c r="E63" s="1"/>
      <c r="F63" s="1"/>
      <c r="G63" s="1"/>
      <c r="H63" s="1"/>
      <c r="I63" s="1"/>
      <c r="J63" s="22"/>
      <c r="K63" s="1"/>
      <c r="L63" s="1"/>
      <c r="M63" s="1"/>
      <c r="N63" s="1"/>
      <c r="O63" s="1"/>
      <c r="P63" s="1"/>
      <c r="Q63" s="1"/>
      <c r="R63" s="1"/>
    </row>
    <row r="64" spans="1:18" ht="15.75" customHeight="1" x14ac:dyDescent="0.3">
      <c r="A64" s="1"/>
      <c r="B64" s="22"/>
      <c r="C64" s="1"/>
      <c r="D64" s="1"/>
      <c r="E64" s="1"/>
      <c r="F64" s="1"/>
      <c r="G64" s="1"/>
      <c r="H64" s="1"/>
      <c r="I64" s="1"/>
      <c r="J64" s="22"/>
      <c r="K64" s="1"/>
      <c r="L64" s="1"/>
      <c r="M64" s="1"/>
      <c r="N64" s="1"/>
      <c r="O64" s="1"/>
      <c r="P64" s="1"/>
      <c r="Q64" s="1"/>
      <c r="R64" s="1"/>
    </row>
    <row r="65" spans="1:18" ht="15.75" customHeight="1" x14ac:dyDescent="0.3">
      <c r="A65" s="1"/>
      <c r="B65" s="22"/>
      <c r="C65" s="1"/>
      <c r="D65" s="1"/>
      <c r="E65" s="1"/>
      <c r="F65" s="1"/>
      <c r="G65" s="1"/>
      <c r="H65" s="1"/>
      <c r="I65" s="1"/>
      <c r="J65" s="22"/>
      <c r="K65" s="1"/>
      <c r="L65" s="1"/>
      <c r="M65" s="1"/>
      <c r="N65" s="1"/>
      <c r="O65" s="1"/>
      <c r="P65" s="1"/>
      <c r="Q65" s="1"/>
      <c r="R65" s="1"/>
    </row>
    <row r="66" spans="1:18" ht="15.75" customHeight="1" x14ac:dyDescent="0.3">
      <c r="A66" s="1"/>
      <c r="B66" s="22"/>
      <c r="C66" s="1"/>
      <c r="D66" s="1"/>
      <c r="E66" s="1"/>
      <c r="F66" s="1"/>
      <c r="G66" s="1"/>
      <c r="H66" s="1"/>
      <c r="I66" s="1"/>
      <c r="J66" s="22"/>
      <c r="K66" s="1"/>
      <c r="L66" s="1"/>
      <c r="M66" s="1"/>
      <c r="N66" s="1"/>
      <c r="O66" s="1"/>
      <c r="P66" s="1"/>
      <c r="Q66" s="1"/>
      <c r="R66" s="1"/>
    </row>
    <row r="67" spans="1:18" ht="15.75" customHeight="1" x14ac:dyDescent="0.3">
      <c r="A67" s="1"/>
      <c r="B67" s="22"/>
      <c r="C67" s="1"/>
      <c r="D67" s="1"/>
      <c r="E67" s="1"/>
      <c r="F67" s="1"/>
      <c r="G67" s="1"/>
      <c r="H67" s="1"/>
      <c r="I67" s="1"/>
      <c r="J67" s="22"/>
      <c r="K67" s="1"/>
      <c r="L67" s="1"/>
      <c r="M67" s="1"/>
      <c r="N67" s="1"/>
      <c r="O67" s="1"/>
      <c r="P67" s="1"/>
      <c r="Q67" s="1"/>
      <c r="R67" s="1"/>
    </row>
    <row r="68" spans="1:18" ht="15.75" customHeight="1" x14ac:dyDescent="0.3">
      <c r="A68" s="1"/>
      <c r="B68" s="22"/>
      <c r="C68" s="1"/>
      <c r="D68" s="1"/>
      <c r="E68" s="1"/>
      <c r="F68" s="1"/>
      <c r="G68" s="1"/>
      <c r="H68" s="1"/>
      <c r="I68" s="1"/>
      <c r="J68" s="22"/>
      <c r="K68" s="1"/>
      <c r="L68" s="1"/>
      <c r="M68" s="1"/>
      <c r="N68" s="1"/>
      <c r="O68" s="1"/>
      <c r="P68" s="1"/>
      <c r="Q68" s="1"/>
      <c r="R68" s="1"/>
    </row>
    <row r="69" spans="1:18" ht="15.75" customHeight="1" x14ac:dyDescent="0.3">
      <c r="A69" s="1"/>
      <c r="B69" s="22"/>
      <c r="C69" s="1"/>
      <c r="D69" s="1"/>
      <c r="E69" s="1"/>
      <c r="F69" s="1"/>
      <c r="G69" s="1"/>
      <c r="H69" s="1"/>
      <c r="I69" s="1"/>
      <c r="J69" s="22"/>
      <c r="K69" s="1"/>
      <c r="L69" s="1"/>
      <c r="M69" s="1"/>
      <c r="N69" s="1"/>
      <c r="O69" s="1"/>
      <c r="P69" s="1"/>
      <c r="Q69" s="1"/>
      <c r="R69" s="1"/>
    </row>
    <row r="70" spans="1:18" ht="15.75" customHeight="1" x14ac:dyDescent="0.3">
      <c r="A70" s="1"/>
      <c r="B70" s="22"/>
      <c r="C70" s="1"/>
      <c r="D70" s="1"/>
      <c r="E70" s="1"/>
      <c r="F70" s="1"/>
      <c r="G70" s="1"/>
      <c r="H70" s="1"/>
      <c r="I70" s="1"/>
      <c r="J70" s="22"/>
      <c r="K70" s="1"/>
      <c r="L70" s="1"/>
      <c r="M70" s="1"/>
      <c r="N70" s="1"/>
      <c r="O70" s="1"/>
      <c r="P70" s="1"/>
      <c r="Q70" s="1"/>
      <c r="R70" s="1"/>
    </row>
    <row r="71" spans="1:18" ht="15.75" customHeight="1" x14ac:dyDescent="0.3">
      <c r="A71" s="1"/>
      <c r="B71" s="22"/>
      <c r="C71" s="1"/>
      <c r="D71" s="1"/>
      <c r="E71" s="1"/>
      <c r="F71" s="1"/>
      <c r="G71" s="1"/>
      <c r="H71" s="1"/>
      <c r="I71" s="1"/>
      <c r="J71" s="22"/>
      <c r="K71" s="1"/>
      <c r="L71" s="1"/>
      <c r="M71" s="1"/>
      <c r="N71" s="1"/>
      <c r="O71" s="1"/>
      <c r="P71" s="1"/>
      <c r="Q71" s="1"/>
      <c r="R71" s="1"/>
    </row>
    <row r="72" spans="1:18" ht="15.75" customHeight="1" x14ac:dyDescent="0.3">
      <c r="A72" s="1"/>
      <c r="B72" s="22"/>
      <c r="C72" s="1"/>
      <c r="D72" s="1"/>
      <c r="E72" s="1"/>
      <c r="F72" s="1"/>
      <c r="G72" s="1"/>
      <c r="H72" s="1"/>
      <c r="I72" s="1"/>
      <c r="J72" s="22"/>
      <c r="K72" s="1"/>
      <c r="L72" s="1"/>
      <c r="M72" s="1"/>
      <c r="N72" s="1"/>
      <c r="O72" s="1"/>
      <c r="P72" s="1"/>
      <c r="Q72" s="1"/>
      <c r="R72" s="1"/>
    </row>
    <row r="73" spans="1:18" ht="15.75" customHeight="1" x14ac:dyDescent="0.3">
      <c r="A73" s="1"/>
      <c r="B73" s="22"/>
      <c r="C73" s="1"/>
      <c r="D73" s="1"/>
      <c r="E73" s="1"/>
      <c r="F73" s="1"/>
      <c r="G73" s="1"/>
      <c r="H73" s="1"/>
      <c r="I73" s="1"/>
      <c r="J73" s="22"/>
      <c r="K73" s="1"/>
      <c r="L73" s="1"/>
      <c r="M73" s="1"/>
      <c r="N73" s="1"/>
      <c r="O73" s="1"/>
      <c r="P73" s="1"/>
      <c r="Q73" s="1"/>
      <c r="R73" s="1"/>
    </row>
    <row r="74" spans="1:18" ht="15.75" customHeight="1" x14ac:dyDescent="0.3">
      <c r="A74" s="1"/>
      <c r="B74" s="22"/>
      <c r="C74" s="1"/>
      <c r="D74" s="1"/>
      <c r="E74" s="1"/>
      <c r="F74" s="1"/>
      <c r="G74" s="1"/>
      <c r="H74" s="1"/>
      <c r="I74" s="1"/>
      <c r="J74" s="22"/>
      <c r="K74" s="1"/>
      <c r="L74" s="1"/>
      <c r="M74" s="1"/>
      <c r="N74" s="1"/>
      <c r="O74" s="1"/>
      <c r="P74" s="1"/>
      <c r="Q74" s="1"/>
      <c r="R74" s="1"/>
    </row>
    <row r="75" spans="1:18" ht="15.75" customHeight="1" x14ac:dyDescent="0.3">
      <c r="A75" s="1"/>
      <c r="B75" s="22"/>
      <c r="C75" s="1"/>
      <c r="D75" s="1"/>
      <c r="E75" s="1"/>
      <c r="F75" s="1"/>
      <c r="G75" s="1"/>
      <c r="H75" s="1"/>
      <c r="I75" s="1"/>
      <c r="J75" s="22"/>
      <c r="K75" s="1"/>
      <c r="L75" s="1"/>
      <c r="M75" s="1"/>
      <c r="N75" s="1"/>
      <c r="O75" s="1"/>
      <c r="P75" s="1"/>
      <c r="Q75" s="1"/>
      <c r="R75" s="1"/>
    </row>
    <row r="76" spans="1:18" ht="15.75" customHeight="1" x14ac:dyDescent="0.3">
      <c r="A76" s="1"/>
      <c r="B76" s="22"/>
      <c r="C76" s="1"/>
      <c r="D76" s="1"/>
      <c r="E76" s="1"/>
      <c r="F76" s="1"/>
      <c r="G76" s="1"/>
      <c r="H76" s="1"/>
      <c r="I76" s="1"/>
      <c r="J76" s="22"/>
      <c r="K76" s="1"/>
      <c r="L76" s="1"/>
      <c r="M76" s="1"/>
      <c r="N76" s="1"/>
      <c r="O76" s="1"/>
      <c r="P76" s="1"/>
      <c r="Q76" s="1"/>
      <c r="R76" s="1"/>
    </row>
    <row r="77" spans="1:18" ht="15.75" customHeight="1" x14ac:dyDescent="0.3">
      <c r="A77" s="1"/>
      <c r="B77" s="22"/>
      <c r="C77" s="1"/>
      <c r="D77" s="1"/>
      <c r="E77" s="1"/>
      <c r="F77" s="1"/>
      <c r="G77" s="1"/>
      <c r="H77" s="1"/>
      <c r="I77" s="1"/>
      <c r="J77" s="22"/>
      <c r="K77" s="1"/>
      <c r="L77" s="1"/>
      <c r="M77" s="1"/>
      <c r="N77" s="1"/>
      <c r="O77" s="1"/>
      <c r="P77" s="1"/>
      <c r="Q77" s="1"/>
      <c r="R77" s="1"/>
    </row>
    <row r="78" spans="1:18" ht="15.75" customHeight="1" x14ac:dyDescent="0.3">
      <c r="A78" s="1"/>
      <c r="B78" s="22"/>
      <c r="C78" s="1"/>
      <c r="D78" s="1"/>
      <c r="E78" s="1"/>
      <c r="F78" s="1"/>
      <c r="G78" s="1"/>
      <c r="H78" s="1"/>
      <c r="I78" s="1"/>
      <c r="J78" s="22"/>
      <c r="K78" s="1"/>
      <c r="L78" s="1"/>
      <c r="M78" s="1"/>
      <c r="N78" s="1"/>
      <c r="O78" s="1"/>
      <c r="P78" s="1"/>
      <c r="Q78" s="1"/>
      <c r="R78" s="1"/>
    </row>
    <row r="79" spans="1:18" ht="15.75" customHeight="1" x14ac:dyDescent="0.3">
      <c r="A79" s="1"/>
      <c r="B79" s="22"/>
      <c r="C79" s="1"/>
      <c r="D79" s="1"/>
      <c r="E79" s="1"/>
      <c r="F79" s="1"/>
      <c r="G79" s="1"/>
      <c r="H79" s="1"/>
      <c r="I79" s="1"/>
      <c r="J79" s="22"/>
      <c r="K79" s="1"/>
      <c r="L79" s="1"/>
      <c r="M79" s="1"/>
      <c r="N79" s="1"/>
      <c r="O79" s="1"/>
      <c r="P79" s="1"/>
      <c r="Q79" s="1"/>
      <c r="R79" s="1"/>
    </row>
    <row r="80" spans="1:18" ht="15.75" customHeight="1" x14ac:dyDescent="0.3">
      <c r="A80" s="1"/>
      <c r="B80" s="22"/>
      <c r="C80" s="1"/>
      <c r="D80" s="1"/>
      <c r="E80" s="1"/>
      <c r="F80" s="1"/>
      <c r="G80" s="1"/>
      <c r="H80" s="1"/>
      <c r="I80" s="1"/>
      <c r="J80" s="22"/>
      <c r="K80" s="1"/>
      <c r="L80" s="1"/>
      <c r="M80" s="1"/>
      <c r="N80" s="1"/>
      <c r="O80" s="1"/>
      <c r="P80" s="1"/>
      <c r="Q80" s="1"/>
      <c r="R80" s="1"/>
    </row>
    <row r="81" spans="1:18" ht="15.75" customHeight="1" x14ac:dyDescent="0.3">
      <c r="A81" s="1"/>
      <c r="B81" s="22"/>
      <c r="C81" s="1"/>
      <c r="D81" s="1"/>
      <c r="E81" s="1"/>
      <c r="F81" s="1"/>
      <c r="G81" s="1"/>
      <c r="H81" s="1"/>
      <c r="I81" s="1"/>
      <c r="J81" s="22"/>
      <c r="K81" s="1"/>
      <c r="L81" s="1"/>
      <c r="M81" s="1"/>
      <c r="N81" s="1"/>
      <c r="O81" s="1"/>
      <c r="P81" s="1"/>
      <c r="Q81" s="1"/>
      <c r="R81" s="1"/>
    </row>
    <row r="82" spans="1:18" ht="15.75" customHeight="1" x14ac:dyDescent="0.3">
      <c r="A82" s="1"/>
      <c r="B82" s="22"/>
      <c r="C82" s="1"/>
      <c r="D82" s="1"/>
      <c r="E82" s="1"/>
      <c r="F82" s="1"/>
      <c r="G82" s="1"/>
      <c r="H82" s="1"/>
      <c r="I82" s="1"/>
      <c r="J82" s="22"/>
      <c r="K82" s="1"/>
      <c r="L82" s="1"/>
      <c r="M82" s="1"/>
      <c r="N82" s="1"/>
      <c r="O82" s="1"/>
      <c r="P82" s="1"/>
      <c r="Q82" s="1"/>
      <c r="R82" s="1"/>
    </row>
    <row r="83" spans="1:18" ht="15.75" customHeight="1" x14ac:dyDescent="0.3">
      <c r="A83" s="1"/>
      <c r="B83" s="22"/>
      <c r="C83" s="1"/>
      <c r="D83" s="1"/>
      <c r="E83" s="1"/>
      <c r="F83" s="1"/>
      <c r="G83" s="1"/>
      <c r="H83" s="1"/>
      <c r="I83" s="1"/>
      <c r="J83" s="22"/>
      <c r="K83" s="1"/>
      <c r="L83" s="1"/>
      <c r="M83" s="1"/>
      <c r="N83" s="1"/>
      <c r="O83" s="1"/>
      <c r="P83" s="1"/>
      <c r="Q83" s="1"/>
      <c r="R83" s="1"/>
    </row>
    <row r="84" spans="1:18" ht="15.75" customHeight="1" x14ac:dyDescent="0.3">
      <c r="A84" s="1"/>
      <c r="B84" s="22"/>
      <c r="C84" s="1"/>
      <c r="D84" s="1"/>
      <c r="E84" s="1"/>
      <c r="F84" s="1"/>
      <c r="G84" s="1"/>
      <c r="H84" s="1"/>
      <c r="I84" s="1"/>
      <c r="J84" s="22"/>
      <c r="K84" s="1"/>
      <c r="L84" s="1"/>
      <c r="M84" s="1"/>
      <c r="N84" s="1"/>
      <c r="O84" s="1"/>
      <c r="P84" s="1"/>
      <c r="Q84" s="1"/>
      <c r="R84" s="1"/>
    </row>
    <row r="85" spans="1:18" ht="15.75" customHeight="1" x14ac:dyDescent="0.3">
      <c r="A85" s="1"/>
      <c r="B85" s="22"/>
      <c r="C85" s="1"/>
      <c r="D85" s="1"/>
      <c r="E85" s="1"/>
      <c r="F85" s="1"/>
      <c r="G85" s="1"/>
      <c r="H85" s="1"/>
      <c r="I85" s="1"/>
      <c r="J85" s="22"/>
      <c r="K85" s="1"/>
      <c r="L85" s="1"/>
      <c r="M85" s="1"/>
      <c r="N85" s="1"/>
      <c r="O85" s="1"/>
      <c r="P85" s="1"/>
      <c r="Q85" s="1"/>
      <c r="R85" s="1"/>
    </row>
    <row r="86" spans="1:18" ht="15.75" customHeight="1" x14ac:dyDescent="0.3">
      <c r="A86" s="1"/>
      <c r="B86" s="22"/>
      <c r="C86" s="1"/>
      <c r="D86" s="1"/>
      <c r="E86" s="1"/>
      <c r="F86" s="1"/>
      <c r="G86" s="1"/>
      <c r="H86" s="1"/>
      <c r="I86" s="1"/>
      <c r="J86" s="22"/>
      <c r="K86" s="1"/>
      <c r="L86" s="1"/>
      <c r="M86" s="1"/>
      <c r="N86" s="1"/>
      <c r="O86" s="1"/>
      <c r="P86" s="1"/>
      <c r="Q86" s="1"/>
      <c r="R86" s="1"/>
    </row>
    <row r="87" spans="1:18" ht="15.75" customHeight="1" x14ac:dyDescent="0.3">
      <c r="A87" s="1"/>
      <c r="B87" s="22"/>
      <c r="C87" s="1"/>
      <c r="D87" s="1"/>
      <c r="E87" s="1"/>
      <c r="F87" s="1"/>
      <c r="G87" s="1"/>
      <c r="H87" s="1"/>
      <c r="I87" s="1"/>
      <c r="J87" s="22"/>
      <c r="K87" s="1"/>
      <c r="L87" s="1"/>
      <c r="M87" s="1"/>
      <c r="N87" s="1"/>
      <c r="O87" s="1"/>
      <c r="P87" s="1"/>
      <c r="Q87" s="1"/>
      <c r="R87" s="1"/>
    </row>
    <row r="88" spans="1:18" ht="15.75" customHeight="1" x14ac:dyDescent="0.3">
      <c r="A88" s="1"/>
      <c r="B88" s="22"/>
      <c r="C88" s="1"/>
      <c r="D88" s="1"/>
      <c r="E88" s="1"/>
      <c r="F88" s="1"/>
      <c r="G88" s="1"/>
      <c r="H88" s="1"/>
      <c r="I88" s="1"/>
      <c r="J88" s="22"/>
      <c r="K88" s="1"/>
      <c r="L88" s="1"/>
      <c r="M88" s="1"/>
      <c r="N88" s="1"/>
      <c r="O88" s="1"/>
      <c r="P88" s="1"/>
      <c r="Q88" s="1"/>
      <c r="R88" s="1"/>
    </row>
    <row r="89" spans="1:18" ht="15.75" customHeight="1" x14ac:dyDescent="0.3">
      <c r="A89" s="1"/>
      <c r="B89" s="22"/>
      <c r="C89" s="1"/>
      <c r="D89" s="1"/>
      <c r="E89" s="1"/>
      <c r="F89" s="1"/>
      <c r="G89" s="1"/>
      <c r="H89" s="1"/>
      <c r="I89" s="1"/>
      <c r="J89" s="22"/>
      <c r="K89" s="1"/>
      <c r="L89" s="1"/>
      <c r="M89" s="1"/>
      <c r="N89" s="1"/>
      <c r="O89" s="1"/>
      <c r="P89" s="1"/>
      <c r="Q89" s="1"/>
      <c r="R89" s="1"/>
    </row>
    <row r="90" spans="1:18" ht="15.75" customHeight="1" x14ac:dyDescent="0.3">
      <c r="A90" s="1"/>
      <c r="B90" s="22"/>
      <c r="C90" s="1"/>
      <c r="D90" s="1"/>
      <c r="E90" s="1"/>
      <c r="F90" s="1"/>
      <c r="G90" s="1"/>
      <c r="H90" s="1"/>
      <c r="I90" s="1"/>
      <c r="J90" s="22"/>
      <c r="K90" s="1"/>
      <c r="L90" s="1"/>
      <c r="M90" s="1"/>
      <c r="N90" s="1"/>
      <c r="O90" s="1"/>
      <c r="P90" s="1"/>
      <c r="Q90" s="1"/>
      <c r="R90" s="1"/>
    </row>
    <row r="91" spans="1:18" ht="15.75" customHeight="1" x14ac:dyDescent="0.3">
      <c r="A91" s="1"/>
      <c r="B91" s="22"/>
      <c r="C91" s="1"/>
      <c r="D91" s="1"/>
      <c r="E91" s="1"/>
      <c r="F91" s="1"/>
      <c r="G91" s="1"/>
      <c r="H91" s="1"/>
      <c r="I91" s="1"/>
      <c r="J91" s="22"/>
      <c r="K91" s="1"/>
      <c r="L91" s="1"/>
      <c r="M91" s="1"/>
      <c r="N91" s="1"/>
      <c r="O91" s="1"/>
      <c r="P91" s="1"/>
      <c r="Q91" s="1"/>
      <c r="R91" s="1"/>
    </row>
    <row r="92" spans="1:18" ht="15.75" customHeight="1" x14ac:dyDescent="0.3">
      <c r="A92" s="1"/>
      <c r="B92" s="22"/>
      <c r="C92" s="1"/>
      <c r="D92" s="1"/>
      <c r="E92" s="1"/>
      <c r="F92" s="1"/>
      <c r="G92" s="1"/>
      <c r="H92" s="1"/>
      <c r="I92" s="1"/>
      <c r="J92" s="22"/>
      <c r="K92" s="1"/>
      <c r="L92" s="1"/>
      <c r="M92" s="1"/>
      <c r="N92" s="1"/>
      <c r="O92" s="1"/>
      <c r="P92" s="1"/>
      <c r="Q92" s="1"/>
      <c r="R92" s="1"/>
    </row>
    <row r="93" spans="1:18" ht="15.75" customHeight="1" x14ac:dyDescent="0.3">
      <c r="A93" s="1"/>
      <c r="B93" s="22"/>
      <c r="C93" s="1"/>
      <c r="D93" s="1"/>
      <c r="E93" s="1"/>
      <c r="F93" s="1"/>
      <c r="G93" s="1"/>
      <c r="H93" s="1"/>
      <c r="I93" s="1"/>
      <c r="J93" s="22"/>
      <c r="K93" s="1"/>
      <c r="L93" s="1"/>
      <c r="M93" s="1"/>
      <c r="N93" s="1"/>
      <c r="O93" s="1"/>
      <c r="P93" s="1"/>
      <c r="Q93" s="1"/>
      <c r="R93" s="1"/>
    </row>
    <row r="94" spans="1:18" ht="15.75" customHeight="1" x14ac:dyDescent="0.3">
      <c r="A94" s="1"/>
      <c r="B94" s="22"/>
      <c r="C94" s="1"/>
      <c r="D94" s="1"/>
      <c r="E94" s="1"/>
      <c r="F94" s="1"/>
      <c r="G94" s="1"/>
      <c r="H94" s="1"/>
      <c r="I94" s="1"/>
      <c r="J94" s="22"/>
      <c r="K94" s="1"/>
      <c r="L94" s="1"/>
      <c r="M94" s="1"/>
      <c r="N94" s="1"/>
      <c r="O94" s="1"/>
      <c r="P94" s="1"/>
      <c r="Q94" s="1"/>
      <c r="R94" s="1"/>
    </row>
    <row r="95" spans="1:18" ht="15.75" customHeight="1" x14ac:dyDescent="0.3">
      <c r="A95" s="1"/>
      <c r="B95" s="22"/>
      <c r="C95" s="1"/>
      <c r="D95" s="1"/>
      <c r="E95" s="1"/>
      <c r="F95" s="1"/>
      <c r="G95" s="1"/>
      <c r="H95" s="1"/>
      <c r="I95" s="1"/>
      <c r="J95" s="22"/>
      <c r="K95" s="1"/>
      <c r="L95" s="1"/>
      <c r="M95" s="1"/>
      <c r="N95" s="1"/>
      <c r="O95" s="1"/>
      <c r="P95" s="1"/>
      <c r="Q95" s="1"/>
      <c r="R95" s="1"/>
    </row>
    <row r="96" spans="1:18" ht="15.75" customHeight="1" x14ac:dyDescent="0.3">
      <c r="A96" s="1"/>
      <c r="B96" s="22"/>
      <c r="C96" s="1"/>
      <c r="D96" s="1"/>
      <c r="E96" s="1"/>
      <c r="F96" s="1"/>
      <c r="G96" s="1"/>
      <c r="H96" s="1"/>
      <c r="I96" s="1"/>
      <c r="J96" s="22"/>
      <c r="K96" s="1"/>
      <c r="L96" s="1"/>
      <c r="M96" s="1"/>
      <c r="N96" s="1"/>
      <c r="O96" s="1"/>
      <c r="P96" s="1"/>
      <c r="Q96" s="1"/>
      <c r="R96" s="1"/>
    </row>
    <row r="97" spans="1:18" ht="15.75" customHeight="1" x14ac:dyDescent="0.3">
      <c r="A97" s="1"/>
      <c r="B97" s="22"/>
      <c r="C97" s="1"/>
      <c r="D97" s="1"/>
      <c r="E97" s="1"/>
      <c r="F97" s="1"/>
      <c r="G97" s="1"/>
      <c r="H97" s="1"/>
      <c r="I97" s="1"/>
      <c r="J97" s="22"/>
      <c r="K97" s="1"/>
      <c r="L97" s="1"/>
      <c r="M97" s="1"/>
      <c r="N97" s="1"/>
      <c r="O97" s="1"/>
      <c r="P97" s="1"/>
      <c r="Q97" s="1"/>
      <c r="R97" s="1"/>
    </row>
    <row r="98" spans="1:18" ht="15.75" customHeight="1" x14ac:dyDescent="0.3">
      <c r="A98" s="1"/>
      <c r="B98" s="22"/>
      <c r="C98" s="1"/>
      <c r="D98" s="1"/>
      <c r="E98" s="1"/>
      <c r="F98" s="1"/>
      <c r="G98" s="1"/>
      <c r="H98" s="1"/>
      <c r="I98" s="1"/>
      <c r="J98" s="22"/>
      <c r="K98" s="1"/>
      <c r="L98" s="1"/>
      <c r="M98" s="1"/>
      <c r="N98" s="1"/>
      <c r="O98" s="1"/>
      <c r="P98" s="1"/>
      <c r="Q98" s="1"/>
      <c r="R98" s="1"/>
    </row>
    <row r="99" spans="1:18" ht="15.75" customHeight="1" x14ac:dyDescent="0.3">
      <c r="A99" s="1"/>
      <c r="B99" s="22"/>
      <c r="C99" s="1"/>
      <c r="D99" s="1"/>
      <c r="E99" s="1"/>
      <c r="F99" s="1"/>
      <c r="G99" s="1"/>
      <c r="H99" s="1"/>
      <c r="I99" s="1"/>
      <c r="J99" s="22"/>
      <c r="K99" s="1"/>
      <c r="L99" s="1"/>
      <c r="M99" s="1"/>
      <c r="N99" s="1"/>
      <c r="O99" s="1"/>
      <c r="P99" s="1"/>
      <c r="Q99" s="1"/>
      <c r="R99" s="1"/>
    </row>
    <row r="100" spans="1:18" ht="15.75" customHeight="1" x14ac:dyDescent="0.3">
      <c r="A100" s="1"/>
      <c r="B100" s="22"/>
      <c r="C100" s="1"/>
      <c r="D100" s="1"/>
      <c r="E100" s="1"/>
      <c r="F100" s="1"/>
      <c r="G100" s="1"/>
      <c r="H100" s="1"/>
      <c r="I100" s="1"/>
      <c r="J100" s="22"/>
      <c r="K100" s="1"/>
      <c r="L100" s="1"/>
      <c r="M100" s="1"/>
      <c r="N100" s="1"/>
      <c r="O100" s="1"/>
      <c r="P100" s="1"/>
      <c r="Q100" s="1"/>
      <c r="R100" s="1"/>
    </row>
  </sheetData>
  <mergeCells count="13">
    <mergeCell ref="Q4:Q8"/>
    <mergeCell ref="G15:H15"/>
    <mergeCell ref="G11:I11"/>
    <mergeCell ref="B11:D11"/>
    <mergeCell ref="A1:Q1"/>
    <mergeCell ref="B2:B3"/>
    <mergeCell ref="A2:A3"/>
    <mergeCell ref="C2:C3"/>
    <mergeCell ref="D2:G2"/>
    <mergeCell ref="P2:P3"/>
    <mergeCell ref="H2:L2"/>
    <mergeCell ref="M2:O2"/>
    <mergeCell ref="Q2:Q3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22114"/>
    <outlinePr summaryBelow="0" summaryRight="0"/>
  </sheetPr>
  <dimension ref="A1:L220"/>
  <sheetViews>
    <sheetView workbookViewId="0">
      <pane ySplit="3" topLeftCell="A10" activePane="bottomLeft" state="frozen"/>
      <selection pane="bottomLeft" activeCell="D12" sqref="D12:E12"/>
    </sheetView>
  </sheetViews>
  <sheetFormatPr defaultColWidth="14.44140625" defaultRowHeight="15" customHeight="1" x14ac:dyDescent="0.25"/>
  <cols>
    <col min="1" max="1" width="25.88671875" customWidth="1"/>
    <col min="2" max="2" width="10.6640625" customWidth="1"/>
    <col min="3" max="3" width="13.6640625" customWidth="1"/>
    <col min="4" max="4" width="13" customWidth="1"/>
    <col min="5" max="10" width="16.6640625" customWidth="1"/>
    <col min="11" max="11" width="43" customWidth="1"/>
    <col min="12" max="12" width="9" customWidth="1"/>
  </cols>
  <sheetData>
    <row r="1" spans="1:12" ht="28.5" customHeight="1" x14ac:dyDescent="0.25">
      <c r="A1" s="202" t="s">
        <v>49</v>
      </c>
      <c r="B1" s="184"/>
      <c r="C1" s="184"/>
      <c r="D1" s="184"/>
      <c r="E1" s="184"/>
      <c r="F1" s="184"/>
      <c r="G1" s="184"/>
      <c r="H1" s="184"/>
      <c r="I1" s="184"/>
      <c r="J1" s="182"/>
      <c r="K1" s="32"/>
      <c r="L1" s="33"/>
    </row>
    <row r="2" spans="1:12" ht="15.75" customHeight="1" x14ac:dyDescent="0.25">
      <c r="A2" s="34" t="s">
        <v>50</v>
      </c>
      <c r="B2" s="34" t="s">
        <v>51</v>
      </c>
      <c r="C2" s="34" t="s">
        <v>52</v>
      </c>
      <c r="D2" s="34" t="s">
        <v>53</v>
      </c>
      <c r="E2" s="34" t="s">
        <v>54</v>
      </c>
      <c r="F2" s="34" t="s">
        <v>55</v>
      </c>
      <c r="G2" s="34" t="s">
        <v>56</v>
      </c>
      <c r="H2" s="34" t="s">
        <v>57</v>
      </c>
      <c r="I2" s="34" t="s">
        <v>58</v>
      </c>
      <c r="J2" s="194" t="s">
        <v>59</v>
      </c>
      <c r="K2" s="32"/>
      <c r="L2" s="35"/>
    </row>
    <row r="3" spans="1:12" ht="15.75" customHeight="1" x14ac:dyDescent="0.25">
      <c r="A3" s="36" t="s">
        <v>13</v>
      </c>
      <c r="B3" s="37">
        <v>0</v>
      </c>
      <c r="C3" s="37">
        <v>0</v>
      </c>
      <c r="D3" s="37">
        <v>0</v>
      </c>
      <c r="E3" s="37">
        <v>0</v>
      </c>
      <c r="F3" s="37">
        <v>0</v>
      </c>
      <c r="G3" s="37">
        <v>0</v>
      </c>
      <c r="H3" s="37">
        <v>0</v>
      </c>
      <c r="I3" s="37">
        <v>0</v>
      </c>
      <c r="J3" s="195"/>
      <c r="K3" s="38"/>
      <c r="L3" s="33"/>
    </row>
    <row r="4" spans="1:12" ht="24" customHeight="1" x14ac:dyDescent="0.25">
      <c r="A4" s="39" t="s">
        <v>31</v>
      </c>
      <c r="B4" s="40">
        <v>1.5</v>
      </c>
      <c r="C4" s="41">
        <v>27</v>
      </c>
      <c r="D4" s="41"/>
      <c r="E4" s="41"/>
      <c r="F4" s="40"/>
      <c r="G4" s="40">
        <v>3</v>
      </c>
      <c r="H4" s="40">
        <v>9</v>
      </c>
      <c r="I4" s="40">
        <v>8</v>
      </c>
      <c r="J4" s="42">
        <f>B4*B3+C4*C3+F4*F3+G4*G3+H4*H3+I4*I3+D4*D3</f>
        <v>0</v>
      </c>
      <c r="K4" s="32"/>
      <c r="L4" s="33"/>
    </row>
    <row r="5" spans="1:12" ht="24" customHeight="1" x14ac:dyDescent="0.25">
      <c r="A5" s="39" t="s">
        <v>39</v>
      </c>
      <c r="B5" s="40">
        <v>8</v>
      </c>
      <c r="C5" s="41">
        <v>25</v>
      </c>
      <c r="D5" s="41">
        <v>1</v>
      </c>
      <c r="E5" s="41"/>
      <c r="F5" s="40">
        <v>2</v>
      </c>
      <c r="G5" s="40">
        <v>6</v>
      </c>
      <c r="H5" s="40">
        <v>14</v>
      </c>
      <c r="I5" s="40">
        <v>6</v>
      </c>
      <c r="J5" s="42">
        <f>B5*B3+C5*C3+F5*F3+G5*G3+H5*H3+I5*I3+D5*D3</f>
        <v>0</v>
      </c>
      <c r="K5" s="32"/>
      <c r="L5" s="33"/>
    </row>
    <row r="6" spans="1:12" ht="24" customHeight="1" x14ac:dyDescent="0.25">
      <c r="A6" s="39" t="s">
        <v>36</v>
      </c>
      <c r="B6" s="40">
        <v>8</v>
      </c>
      <c r="C6" s="41">
        <v>22.5</v>
      </c>
      <c r="D6" s="41"/>
      <c r="E6" s="41"/>
      <c r="F6" s="40">
        <v>1</v>
      </c>
      <c r="G6" s="40">
        <v>13</v>
      </c>
      <c r="H6" s="40">
        <v>23</v>
      </c>
      <c r="I6" s="40">
        <v>10</v>
      </c>
      <c r="J6" s="42">
        <f>(B6*B3)+(C6*C3)+(F6*F3)+(G6*G3)+(H6*H3)+(I6*I3)+D6*D3</f>
        <v>0</v>
      </c>
      <c r="K6" s="32"/>
      <c r="L6" s="33"/>
    </row>
    <row r="7" spans="1:12" ht="18.75" customHeight="1" x14ac:dyDescent="0.25">
      <c r="A7" s="39" t="s">
        <v>46</v>
      </c>
      <c r="B7" s="40">
        <v>10.5</v>
      </c>
      <c r="C7" s="41">
        <v>28.5</v>
      </c>
      <c r="D7" s="41"/>
      <c r="E7" s="41"/>
      <c r="F7" s="40">
        <v>4</v>
      </c>
      <c r="G7" s="40">
        <v>8</v>
      </c>
      <c r="H7" s="40">
        <v>10</v>
      </c>
      <c r="I7" s="40">
        <v>9</v>
      </c>
      <c r="J7" s="42">
        <f>B7*B3+C7*C3+D7*D3+E7*E3+F7*F3+G7*G3+H7*H3+I7*I3</f>
        <v>0</v>
      </c>
      <c r="K7" s="32"/>
      <c r="L7" s="33"/>
    </row>
    <row r="8" spans="1:12" ht="15.75" customHeight="1" x14ac:dyDescent="0.25">
      <c r="A8" s="18"/>
      <c r="B8" s="18"/>
      <c r="C8" s="32"/>
      <c r="D8" s="32"/>
      <c r="E8" s="32"/>
      <c r="F8" s="43"/>
      <c r="G8" s="43"/>
      <c r="H8" s="18"/>
      <c r="I8" s="18"/>
      <c r="J8" s="18"/>
      <c r="K8" s="32"/>
      <c r="L8" s="33"/>
    </row>
    <row r="9" spans="1:12" ht="60" customHeight="1" x14ac:dyDescent="0.25">
      <c r="A9" s="34" t="s">
        <v>60</v>
      </c>
      <c r="B9" s="192" t="s">
        <v>184</v>
      </c>
      <c r="C9" s="193"/>
      <c r="D9" s="192" t="s">
        <v>61</v>
      </c>
      <c r="E9" s="193"/>
      <c r="F9" s="192" t="s">
        <v>62</v>
      </c>
      <c r="G9" s="193"/>
      <c r="H9" s="192" t="s">
        <v>63</v>
      </c>
      <c r="I9" s="193"/>
      <c r="J9" s="194" t="s">
        <v>64</v>
      </c>
      <c r="K9" s="194" t="s">
        <v>65</v>
      </c>
      <c r="L9" s="35"/>
    </row>
    <row r="10" spans="1:12" ht="15" customHeight="1" x14ac:dyDescent="0.25">
      <c r="A10" s="36" t="s">
        <v>13</v>
      </c>
      <c r="B10" s="196">
        <v>0</v>
      </c>
      <c r="C10" s="197"/>
      <c r="D10" s="196">
        <v>1</v>
      </c>
      <c r="E10" s="197"/>
      <c r="F10" s="196">
        <v>2</v>
      </c>
      <c r="G10" s="197"/>
      <c r="H10" s="196">
        <v>3</v>
      </c>
      <c r="I10" s="197"/>
      <c r="J10" s="195"/>
      <c r="K10" s="195"/>
      <c r="L10" s="33"/>
    </row>
    <row r="11" spans="1:12" ht="29.25" customHeight="1" x14ac:dyDescent="0.25">
      <c r="A11" s="44" t="s">
        <v>31</v>
      </c>
      <c r="B11" s="200">
        <v>1</v>
      </c>
      <c r="C11" s="182"/>
      <c r="D11" s="201"/>
      <c r="E11" s="182"/>
      <c r="F11" s="200"/>
      <c r="G11" s="182"/>
      <c r="H11" s="200"/>
      <c r="I11" s="182"/>
      <c r="J11" s="45">
        <f>B11*B10+F11*F10+D11*D10</f>
        <v>0</v>
      </c>
      <c r="K11" s="46" t="s">
        <v>66</v>
      </c>
      <c r="L11" s="33"/>
    </row>
    <row r="12" spans="1:12" ht="29.25" customHeight="1" x14ac:dyDescent="0.25">
      <c r="A12" s="39" t="s">
        <v>36</v>
      </c>
      <c r="B12" s="198">
        <v>1</v>
      </c>
      <c r="C12" s="182"/>
      <c r="D12" s="199"/>
      <c r="E12" s="182"/>
      <c r="F12" s="198"/>
      <c r="G12" s="182"/>
      <c r="H12" s="198"/>
      <c r="I12" s="182"/>
      <c r="J12" s="45">
        <f>B12*B10</f>
        <v>0</v>
      </c>
      <c r="K12" s="46" t="s">
        <v>67</v>
      </c>
      <c r="L12" s="33"/>
    </row>
    <row r="13" spans="1:12" ht="59.25" customHeight="1" x14ac:dyDescent="0.25">
      <c r="A13" s="44" t="s">
        <v>39</v>
      </c>
      <c r="B13" s="200">
        <v>2</v>
      </c>
      <c r="C13" s="182"/>
      <c r="D13" s="201"/>
      <c r="E13" s="182"/>
      <c r="F13" s="200"/>
      <c r="G13" s="182"/>
      <c r="H13" s="200"/>
      <c r="I13" s="182"/>
      <c r="J13" s="45">
        <f>B13*B10+D13*D10+F13*F10</f>
        <v>0</v>
      </c>
      <c r="K13" s="46" t="s">
        <v>68</v>
      </c>
      <c r="L13" s="33"/>
    </row>
    <row r="14" spans="1:12" ht="26.25" customHeight="1" x14ac:dyDescent="0.25">
      <c r="A14" s="39" t="s">
        <v>46</v>
      </c>
      <c r="B14" s="198">
        <v>1</v>
      </c>
      <c r="C14" s="182"/>
      <c r="D14" s="199"/>
      <c r="E14" s="182"/>
      <c r="F14" s="198"/>
      <c r="G14" s="182"/>
      <c r="H14" s="198"/>
      <c r="I14" s="182"/>
      <c r="J14" s="47">
        <f>B14*B10</f>
        <v>0</v>
      </c>
      <c r="K14" s="46" t="s">
        <v>69</v>
      </c>
      <c r="L14" s="33"/>
    </row>
    <row r="15" spans="1:12" ht="15.75" customHeight="1" x14ac:dyDescent="0.25">
      <c r="A15" s="33"/>
      <c r="B15" s="48"/>
      <c r="C15" s="35"/>
      <c r="D15" s="35"/>
      <c r="E15" s="35"/>
      <c r="F15" s="49"/>
      <c r="G15" s="49"/>
      <c r="H15" s="33"/>
      <c r="I15" s="33"/>
      <c r="J15" s="33"/>
      <c r="K15" s="35"/>
      <c r="L15" s="33"/>
    </row>
    <row r="16" spans="1:12" ht="15.75" customHeight="1" x14ac:dyDescent="0.25">
      <c r="A16" s="33"/>
      <c r="B16" s="48"/>
      <c r="C16" s="35"/>
      <c r="D16" s="35"/>
      <c r="E16" s="35"/>
      <c r="F16" s="49"/>
      <c r="G16" s="49"/>
      <c r="H16" s="33"/>
      <c r="I16" s="33"/>
      <c r="J16" s="33"/>
      <c r="K16" s="35"/>
      <c r="L16" s="33"/>
    </row>
    <row r="17" spans="1:12" ht="15.75" customHeight="1" x14ac:dyDescent="0.25">
      <c r="A17" s="33"/>
      <c r="B17" s="48"/>
      <c r="C17" s="35"/>
      <c r="D17" s="35"/>
      <c r="E17" s="35"/>
      <c r="F17" s="49"/>
      <c r="G17" s="49"/>
      <c r="H17" s="33"/>
      <c r="I17" s="33"/>
      <c r="J17" s="33"/>
      <c r="K17" s="35"/>
      <c r="L17" s="33"/>
    </row>
    <row r="18" spans="1:12" ht="15.75" customHeight="1" x14ac:dyDescent="0.25">
      <c r="A18" s="33"/>
      <c r="B18" s="48"/>
      <c r="C18" s="35"/>
      <c r="D18" s="35"/>
      <c r="E18" s="35"/>
      <c r="F18" s="49"/>
      <c r="G18" s="49"/>
      <c r="H18" s="33"/>
      <c r="I18" s="33"/>
      <c r="J18" s="33"/>
      <c r="K18" s="35"/>
      <c r="L18" s="33"/>
    </row>
    <row r="19" spans="1:12" ht="15.75" customHeight="1" x14ac:dyDescent="0.25">
      <c r="A19" s="33"/>
      <c r="B19" s="48"/>
      <c r="C19" s="35"/>
      <c r="D19" s="35"/>
      <c r="E19" s="35"/>
      <c r="F19" s="49"/>
      <c r="G19" s="49"/>
      <c r="H19" s="33"/>
      <c r="I19" s="33"/>
      <c r="J19" s="33"/>
      <c r="K19" s="35"/>
      <c r="L19" s="33"/>
    </row>
    <row r="20" spans="1:12" ht="15.75" customHeight="1" x14ac:dyDescent="0.25">
      <c r="A20" s="33"/>
      <c r="B20" s="48"/>
      <c r="C20" s="35"/>
      <c r="D20" s="35"/>
      <c r="E20" s="35"/>
      <c r="F20" s="49"/>
      <c r="G20" s="49"/>
      <c r="H20" s="33"/>
      <c r="I20" s="33"/>
      <c r="J20" s="33"/>
      <c r="K20" s="35"/>
      <c r="L20" s="33"/>
    </row>
    <row r="21" spans="1:12" ht="15.75" customHeight="1" x14ac:dyDescent="0.25">
      <c r="A21" s="33"/>
      <c r="B21" s="48"/>
      <c r="C21" s="35"/>
      <c r="D21" s="35"/>
      <c r="E21" s="35"/>
      <c r="F21" s="49"/>
      <c r="G21" s="49"/>
      <c r="H21" s="33"/>
      <c r="I21" s="33"/>
      <c r="J21" s="33"/>
      <c r="K21" s="35"/>
      <c r="L21" s="33"/>
    </row>
    <row r="22" spans="1:12" ht="15.75" customHeight="1" x14ac:dyDescent="0.25">
      <c r="A22" s="33"/>
      <c r="B22" s="48"/>
      <c r="C22" s="35"/>
      <c r="D22" s="35"/>
      <c r="E22" s="35"/>
      <c r="F22" s="49"/>
      <c r="G22" s="49"/>
      <c r="H22" s="33"/>
      <c r="I22" s="33"/>
      <c r="J22" s="33"/>
      <c r="K22" s="35"/>
      <c r="L22" s="33"/>
    </row>
    <row r="23" spans="1:12" ht="15.75" customHeight="1" x14ac:dyDescent="0.25">
      <c r="A23" s="33"/>
      <c r="B23" s="48"/>
      <c r="C23" s="35"/>
      <c r="D23" s="35"/>
      <c r="E23" s="35"/>
      <c r="F23" s="49"/>
      <c r="G23" s="49"/>
      <c r="H23" s="33"/>
      <c r="I23" s="33"/>
      <c r="J23" s="33"/>
      <c r="K23" s="35"/>
      <c r="L23" s="33"/>
    </row>
    <row r="24" spans="1:12" ht="15.75" customHeight="1" x14ac:dyDescent="0.25">
      <c r="A24" s="33"/>
      <c r="B24" s="48"/>
      <c r="C24" s="35"/>
      <c r="D24" s="35"/>
      <c r="E24" s="35"/>
      <c r="F24" s="49"/>
      <c r="G24" s="49"/>
      <c r="H24" s="33"/>
      <c r="I24" s="33"/>
      <c r="J24" s="33"/>
      <c r="K24" s="35"/>
      <c r="L24" s="33"/>
    </row>
    <row r="25" spans="1:12" ht="15.75" customHeight="1" x14ac:dyDescent="0.25">
      <c r="A25" s="33"/>
      <c r="B25" s="48"/>
      <c r="C25" s="35"/>
      <c r="D25" s="35"/>
      <c r="E25" s="35"/>
      <c r="F25" s="49"/>
      <c r="G25" s="49"/>
      <c r="H25" s="33"/>
      <c r="I25" s="33"/>
      <c r="J25" s="33"/>
      <c r="K25" s="35"/>
      <c r="L25" s="33"/>
    </row>
    <row r="26" spans="1:12" ht="15.75" customHeight="1" x14ac:dyDescent="0.25">
      <c r="A26" s="33"/>
      <c r="B26" s="48"/>
      <c r="C26" s="35"/>
      <c r="D26" s="35"/>
      <c r="E26" s="35"/>
      <c r="F26" s="49"/>
      <c r="G26" s="49"/>
      <c r="H26" s="33"/>
      <c r="I26" s="33"/>
      <c r="J26" s="33"/>
      <c r="K26" s="35"/>
      <c r="L26" s="33"/>
    </row>
    <row r="27" spans="1:12" ht="15.75" customHeight="1" x14ac:dyDescent="0.25">
      <c r="A27" s="33"/>
      <c r="B27" s="48"/>
      <c r="C27" s="35"/>
      <c r="D27" s="35"/>
      <c r="E27" s="35"/>
      <c r="F27" s="49"/>
      <c r="G27" s="49"/>
      <c r="H27" s="33"/>
      <c r="I27" s="33"/>
      <c r="J27" s="33"/>
      <c r="K27" s="35"/>
      <c r="L27" s="33"/>
    </row>
    <row r="28" spans="1:12" ht="15.75" customHeight="1" x14ac:dyDescent="0.25">
      <c r="A28" s="33"/>
      <c r="B28" s="48"/>
      <c r="C28" s="35"/>
      <c r="D28" s="35"/>
      <c r="E28" s="35"/>
      <c r="F28" s="49"/>
      <c r="G28" s="49"/>
      <c r="H28" s="33"/>
      <c r="I28" s="33"/>
      <c r="J28" s="33"/>
      <c r="K28" s="35"/>
      <c r="L28" s="33"/>
    </row>
    <row r="29" spans="1:12" ht="15.75" customHeight="1" x14ac:dyDescent="0.25">
      <c r="A29" s="33"/>
      <c r="B29" s="48"/>
      <c r="C29" s="35"/>
      <c r="D29" s="35"/>
      <c r="E29" s="35"/>
      <c r="F29" s="49"/>
      <c r="G29" s="49"/>
      <c r="H29" s="33"/>
      <c r="I29" s="33"/>
      <c r="J29" s="33"/>
      <c r="K29" s="35"/>
      <c r="L29" s="33"/>
    </row>
    <row r="30" spans="1:12" ht="15.75" customHeight="1" x14ac:dyDescent="0.25">
      <c r="A30" s="33"/>
      <c r="B30" s="48"/>
      <c r="C30" s="35"/>
      <c r="D30" s="35"/>
      <c r="E30" s="35"/>
      <c r="F30" s="49"/>
      <c r="G30" s="49"/>
      <c r="H30" s="33"/>
      <c r="I30" s="33"/>
      <c r="J30" s="33"/>
      <c r="K30" s="35"/>
      <c r="L30" s="33"/>
    </row>
    <row r="31" spans="1:12" ht="15.75" customHeight="1" x14ac:dyDescent="0.25">
      <c r="A31" s="33"/>
      <c r="B31" s="48"/>
      <c r="C31" s="35"/>
      <c r="D31" s="35"/>
      <c r="E31" s="35"/>
      <c r="F31" s="49"/>
      <c r="G31" s="49"/>
      <c r="H31" s="33"/>
      <c r="I31" s="33"/>
      <c r="J31" s="33"/>
      <c r="K31" s="35"/>
      <c r="L31" s="33"/>
    </row>
    <row r="32" spans="1:12" ht="15.75" customHeight="1" x14ac:dyDescent="0.25">
      <c r="A32" s="33"/>
      <c r="B32" s="33"/>
      <c r="C32" s="35"/>
      <c r="D32" s="35"/>
      <c r="E32" s="35"/>
      <c r="F32" s="49"/>
      <c r="G32" s="49"/>
      <c r="H32" s="33"/>
      <c r="I32" s="33"/>
      <c r="J32" s="33"/>
      <c r="K32" s="35"/>
      <c r="L32" s="33"/>
    </row>
    <row r="33" spans="1:12" ht="15.75" customHeight="1" x14ac:dyDescent="0.25">
      <c r="A33" s="33"/>
      <c r="B33" s="33"/>
      <c r="C33" s="35"/>
      <c r="D33" s="35"/>
      <c r="E33" s="35"/>
      <c r="F33" s="49"/>
      <c r="G33" s="49"/>
      <c r="H33" s="33"/>
      <c r="I33" s="33"/>
      <c r="J33" s="33"/>
      <c r="K33" s="35"/>
      <c r="L33" s="33"/>
    </row>
    <row r="34" spans="1:12" ht="15.75" customHeight="1" x14ac:dyDescent="0.25">
      <c r="A34" s="33"/>
      <c r="B34" s="33"/>
      <c r="C34" s="35"/>
      <c r="D34" s="35"/>
      <c r="E34" s="35"/>
      <c r="F34" s="49"/>
      <c r="G34" s="49"/>
      <c r="H34" s="33"/>
      <c r="I34" s="33"/>
      <c r="J34" s="33"/>
      <c r="K34" s="35"/>
      <c r="L34" s="33"/>
    </row>
    <row r="35" spans="1:12" ht="15.75" customHeight="1" x14ac:dyDescent="0.25">
      <c r="A35" s="33"/>
      <c r="B35" s="33"/>
      <c r="C35" s="35"/>
      <c r="D35" s="35"/>
      <c r="E35" s="35"/>
      <c r="F35" s="49"/>
      <c r="G35" s="49"/>
      <c r="H35" s="33"/>
      <c r="I35" s="33"/>
      <c r="J35" s="33"/>
      <c r="K35" s="35"/>
      <c r="L35" s="33"/>
    </row>
    <row r="36" spans="1:12" ht="15.75" customHeight="1" x14ac:dyDescent="0.25">
      <c r="A36" s="33"/>
      <c r="B36" s="33"/>
      <c r="C36" s="35"/>
      <c r="D36" s="35"/>
      <c r="E36" s="35"/>
      <c r="F36" s="49"/>
      <c r="G36" s="49"/>
      <c r="H36" s="33"/>
      <c r="I36" s="33"/>
      <c r="J36" s="33"/>
      <c r="K36" s="35"/>
      <c r="L36" s="33"/>
    </row>
    <row r="37" spans="1:12" ht="15.75" customHeight="1" x14ac:dyDescent="0.25">
      <c r="A37" s="33"/>
      <c r="B37" s="33"/>
      <c r="C37" s="35"/>
      <c r="D37" s="35"/>
      <c r="E37" s="35"/>
      <c r="F37" s="49"/>
      <c r="G37" s="49"/>
      <c r="H37" s="33"/>
      <c r="I37" s="33"/>
      <c r="J37" s="33"/>
      <c r="K37" s="35"/>
      <c r="L37" s="33"/>
    </row>
    <row r="38" spans="1:12" ht="15.75" customHeight="1" x14ac:dyDescent="0.25">
      <c r="A38" s="33"/>
      <c r="B38" s="33"/>
      <c r="C38" s="35"/>
      <c r="D38" s="35"/>
      <c r="E38" s="35"/>
      <c r="F38" s="49"/>
      <c r="G38" s="49"/>
      <c r="H38" s="33"/>
      <c r="I38" s="33"/>
      <c r="J38" s="33"/>
      <c r="K38" s="35"/>
      <c r="L38" s="33"/>
    </row>
    <row r="39" spans="1:12" ht="15.75" customHeight="1" x14ac:dyDescent="0.25">
      <c r="A39" s="33"/>
      <c r="B39" s="33"/>
      <c r="C39" s="35"/>
      <c r="D39" s="35"/>
      <c r="E39" s="35"/>
      <c r="F39" s="49"/>
      <c r="G39" s="49"/>
      <c r="H39" s="33"/>
      <c r="I39" s="33"/>
      <c r="J39" s="33"/>
      <c r="K39" s="35"/>
      <c r="L39" s="33"/>
    </row>
    <row r="40" spans="1:12" ht="15.75" customHeight="1" x14ac:dyDescent="0.25">
      <c r="A40" s="33"/>
      <c r="B40" s="33"/>
      <c r="C40" s="35"/>
      <c r="D40" s="35"/>
      <c r="E40" s="35"/>
      <c r="F40" s="49"/>
      <c r="G40" s="49"/>
      <c r="H40" s="33"/>
      <c r="I40" s="33"/>
      <c r="J40" s="33"/>
      <c r="K40" s="35"/>
      <c r="L40" s="33"/>
    </row>
    <row r="41" spans="1:12" ht="15.75" customHeight="1" x14ac:dyDescent="0.25">
      <c r="A41" s="33"/>
      <c r="B41" s="33"/>
      <c r="C41" s="35"/>
      <c r="D41" s="35"/>
      <c r="E41" s="35"/>
      <c r="F41" s="49"/>
      <c r="G41" s="49"/>
      <c r="H41" s="33"/>
      <c r="I41" s="33"/>
      <c r="J41" s="33"/>
      <c r="K41" s="35"/>
      <c r="L41" s="33"/>
    </row>
    <row r="42" spans="1:12" ht="15.75" customHeight="1" x14ac:dyDescent="0.25">
      <c r="A42" s="33"/>
      <c r="B42" s="33"/>
      <c r="C42" s="35"/>
      <c r="D42" s="35"/>
      <c r="E42" s="35"/>
      <c r="F42" s="49"/>
      <c r="G42" s="49"/>
      <c r="H42" s="33"/>
      <c r="I42" s="33"/>
      <c r="J42" s="33"/>
      <c r="K42" s="35"/>
      <c r="L42" s="33"/>
    </row>
    <row r="43" spans="1:12" ht="15.75" customHeight="1" x14ac:dyDescent="0.25">
      <c r="A43" s="33"/>
      <c r="B43" s="33"/>
      <c r="C43" s="35"/>
      <c r="D43" s="35"/>
      <c r="E43" s="35"/>
      <c r="F43" s="49"/>
      <c r="G43" s="49"/>
      <c r="H43" s="33"/>
      <c r="I43" s="33"/>
      <c r="J43" s="33"/>
      <c r="K43" s="35"/>
      <c r="L43" s="33"/>
    </row>
    <row r="44" spans="1:12" ht="15.75" customHeight="1" x14ac:dyDescent="0.25">
      <c r="A44" s="33"/>
      <c r="B44" s="33"/>
      <c r="C44" s="35"/>
      <c r="D44" s="35"/>
      <c r="E44" s="35"/>
      <c r="F44" s="49"/>
      <c r="G44" s="49"/>
      <c r="H44" s="33"/>
      <c r="I44" s="33"/>
      <c r="J44" s="33"/>
      <c r="K44" s="35"/>
      <c r="L44" s="33"/>
    </row>
    <row r="45" spans="1:12" ht="15.75" customHeight="1" x14ac:dyDescent="0.25">
      <c r="A45" s="33"/>
      <c r="B45" s="33"/>
      <c r="C45" s="35"/>
      <c r="D45" s="35"/>
      <c r="E45" s="35"/>
      <c r="F45" s="49"/>
      <c r="G45" s="49"/>
      <c r="H45" s="33"/>
      <c r="I45" s="33"/>
      <c r="J45" s="33"/>
      <c r="K45" s="35"/>
      <c r="L45" s="33"/>
    </row>
    <row r="46" spans="1:12" ht="15.75" customHeight="1" x14ac:dyDescent="0.25">
      <c r="A46" s="33"/>
      <c r="B46" s="33"/>
      <c r="C46" s="35"/>
      <c r="D46" s="35"/>
      <c r="E46" s="35"/>
      <c r="F46" s="49"/>
      <c r="G46" s="49"/>
      <c r="H46" s="33"/>
      <c r="I46" s="33"/>
      <c r="J46" s="33"/>
      <c r="K46" s="35"/>
      <c r="L46" s="33"/>
    </row>
    <row r="47" spans="1:12" ht="15.75" customHeight="1" x14ac:dyDescent="0.25">
      <c r="A47" s="33"/>
      <c r="B47" s="33"/>
      <c r="C47" s="35"/>
      <c r="D47" s="35"/>
      <c r="E47" s="35"/>
      <c r="F47" s="49"/>
      <c r="G47" s="49"/>
      <c r="H47" s="33"/>
      <c r="I47" s="33"/>
      <c r="J47" s="33"/>
      <c r="K47" s="35"/>
      <c r="L47" s="33"/>
    </row>
    <row r="48" spans="1:12" ht="15.75" customHeight="1" x14ac:dyDescent="0.25">
      <c r="A48" s="33"/>
      <c r="B48" s="33"/>
      <c r="C48" s="35"/>
      <c r="D48" s="35"/>
      <c r="E48" s="35"/>
      <c r="F48" s="49"/>
      <c r="G48" s="49"/>
      <c r="H48" s="33"/>
      <c r="I48" s="33"/>
      <c r="J48" s="33"/>
      <c r="K48" s="35"/>
      <c r="L48" s="33"/>
    </row>
    <row r="49" spans="1:12" ht="15.75" customHeight="1" x14ac:dyDescent="0.25">
      <c r="A49" s="33"/>
      <c r="B49" s="33"/>
      <c r="C49" s="35"/>
      <c r="D49" s="35"/>
      <c r="E49" s="35"/>
      <c r="F49" s="49"/>
      <c r="G49" s="49"/>
      <c r="H49" s="33"/>
      <c r="I49" s="33"/>
      <c r="J49" s="33"/>
      <c r="K49" s="35"/>
      <c r="L49" s="33"/>
    </row>
    <row r="50" spans="1:12" ht="15.75" customHeight="1" x14ac:dyDescent="0.25">
      <c r="A50" s="33"/>
      <c r="B50" s="33"/>
      <c r="C50" s="35"/>
      <c r="D50" s="35"/>
      <c r="E50" s="35"/>
      <c r="F50" s="49"/>
      <c r="G50" s="49"/>
      <c r="H50" s="33"/>
      <c r="I50" s="33"/>
      <c r="J50" s="33"/>
      <c r="K50" s="35"/>
      <c r="L50" s="33"/>
    </row>
    <row r="51" spans="1:12" ht="15.75" customHeight="1" x14ac:dyDescent="0.25">
      <c r="A51" s="33"/>
      <c r="B51" s="33"/>
      <c r="C51" s="35"/>
      <c r="D51" s="35"/>
      <c r="E51" s="35"/>
      <c r="F51" s="49"/>
      <c r="G51" s="49"/>
      <c r="H51" s="33"/>
      <c r="I51" s="33"/>
      <c r="J51" s="33"/>
      <c r="K51" s="35"/>
      <c r="L51" s="33"/>
    </row>
    <row r="52" spans="1:12" ht="15.75" customHeight="1" x14ac:dyDescent="0.25">
      <c r="A52" s="33"/>
      <c r="B52" s="33"/>
      <c r="C52" s="35"/>
      <c r="D52" s="35"/>
      <c r="E52" s="35"/>
      <c r="F52" s="49"/>
      <c r="G52" s="49"/>
      <c r="H52" s="33"/>
      <c r="I52" s="33"/>
      <c r="J52" s="33"/>
      <c r="K52" s="35"/>
      <c r="L52" s="33"/>
    </row>
    <row r="53" spans="1:12" ht="15.75" customHeight="1" x14ac:dyDescent="0.25">
      <c r="A53" s="33"/>
      <c r="B53" s="33"/>
      <c r="C53" s="35"/>
      <c r="D53" s="35"/>
      <c r="E53" s="35"/>
      <c r="F53" s="49"/>
      <c r="G53" s="49"/>
      <c r="H53" s="33"/>
      <c r="I53" s="33"/>
      <c r="J53" s="33"/>
      <c r="K53" s="35"/>
      <c r="L53" s="33"/>
    </row>
    <row r="54" spans="1:12" ht="15.75" customHeight="1" x14ac:dyDescent="0.25">
      <c r="A54" s="33"/>
      <c r="B54" s="33"/>
      <c r="C54" s="35"/>
      <c r="D54" s="35"/>
      <c r="E54" s="35"/>
      <c r="F54" s="49"/>
      <c r="G54" s="49"/>
      <c r="H54" s="33"/>
      <c r="I54" s="33"/>
      <c r="J54" s="33"/>
      <c r="K54" s="35"/>
      <c r="L54" s="33"/>
    </row>
    <row r="55" spans="1:12" ht="15.75" customHeight="1" x14ac:dyDescent="0.25">
      <c r="A55" s="33"/>
      <c r="B55" s="33"/>
      <c r="C55" s="35"/>
      <c r="D55" s="35"/>
      <c r="E55" s="35"/>
      <c r="F55" s="49"/>
      <c r="G55" s="49"/>
      <c r="H55" s="33"/>
      <c r="I55" s="33"/>
      <c r="J55" s="33"/>
      <c r="K55" s="35"/>
      <c r="L55" s="33"/>
    </row>
    <row r="56" spans="1:12" ht="15.75" customHeight="1" x14ac:dyDescent="0.25">
      <c r="A56" s="33"/>
      <c r="B56" s="33"/>
      <c r="C56" s="35"/>
      <c r="D56" s="35"/>
      <c r="E56" s="35"/>
      <c r="F56" s="49"/>
      <c r="G56" s="49"/>
      <c r="H56" s="33"/>
      <c r="I56" s="33"/>
      <c r="J56" s="33"/>
      <c r="K56" s="35"/>
      <c r="L56" s="33"/>
    </row>
    <row r="57" spans="1:12" ht="15.75" customHeight="1" x14ac:dyDescent="0.25">
      <c r="A57" s="33"/>
      <c r="B57" s="33"/>
      <c r="C57" s="35"/>
      <c r="D57" s="35"/>
      <c r="E57" s="35"/>
      <c r="F57" s="49"/>
      <c r="G57" s="49"/>
      <c r="H57" s="33"/>
      <c r="I57" s="33"/>
      <c r="J57" s="33"/>
      <c r="K57" s="35"/>
      <c r="L57" s="33"/>
    </row>
    <row r="58" spans="1:12" ht="15.75" customHeight="1" x14ac:dyDescent="0.25">
      <c r="A58" s="33"/>
      <c r="B58" s="33"/>
      <c r="C58" s="35"/>
      <c r="D58" s="35"/>
      <c r="E58" s="35"/>
      <c r="F58" s="49"/>
      <c r="G58" s="49"/>
      <c r="H58" s="33"/>
      <c r="I58" s="33"/>
      <c r="J58" s="33"/>
      <c r="K58" s="35"/>
      <c r="L58" s="33"/>
    </row>
    <row r="59" spans="1:12" ht="15.75" customHeight="1" x14ac:dyDescent="0.25">
      <c r="A59" s="33"/>
      <c r="B59" s="33"/>
      <c r="C59" s="35"/>
      <c r="D59" s="35"/>
      <c r="E59" s="35"/>
      <c r="F59" s="49"/>
      <c r="G59" s="49"/>
      <c r="H59" s="33"/>
      <c r="I59" s="33"/>
      <c r="J59" s="33"/>
      <c r="K59" s="35"/>
      <c r="L59" s="33"/>
    </row>
    <row r="60" spans="1:12" ht="15.75" customHeight="1" x14ac:dyDescent="0.25">
      <c r="A60" s="33"/>
      <c r="B60" s="33"/>
      <c r="C60" s="35"/>
      <c r="D60" s="35"/>
      <c r="E60" s="35"/>
      <c r="F60" s="49"/>
      <c r="G60" s="49"/>
      <c r="H60" s="33"/>
      <c r="I60" s="33"/>
      <c r="J60" s="33"/>
      <c r="K60" s="35"/>
      <c r="L60" s="33"/>
    </row>
    <row r="61" spans="1:12" ht="15.75" customHeight="1" x14ac:dyDescent="0.25">
      <c r="A61" s="33"/>
      <c r="B61" s="33"/>
      <c r="C61" s="35"/>
      <c r="D61" s="35"/>
      <c r="E61" s="35"/>
      <c r="F61" s="49"/>
      <c r="G61" s="49"/>
      <c r="H61" s="33"/>
      <c r="I61" s="33"/>
      <c r="J61" s="33"/>
      <c r="K61" s="35"/>
      <c r="L61" s="33"/>
    </row>
    <row r="62" spans="1:12" ht="15.75" customHeight="1" x14ac:dyDescent="0.25">
      <c r="A62" s="33"/>
      <c r="B62" s="33"/>
      <c r="C62" s="35"/>
      <c r="D62" s="35"/>
      <c r="E62" s="35"/>
      <c r="F62" s="49"/>
      <c r="G62" s="49"/>
      <c r="H62" s="33"/>
      <c r="I62" s="33"/>
      <c r="J62" s="33"/>
      <c r="K62" s="35"/>
      <c r="L62" s="33"/>
    </row>
    <row r="63" spans="1:12" ht="15.75" customHeight="1" x14ac:dyDescent="0.25">
      <c r="A63" s="33"/>
      <c r="B63" s="33"/>
      <c r="C63" s="35"/>
      <c r="D63" s="35"/>
      <c r="E63" s="35"/>
      <c r="F63" s="49"/>
      <c r="G63" s="49"/>
      <c r="H63" s="33"/>
      <c r="I63" s="33"/>
      <c r="J63" s="33"/>
      <c r="K63" s="35"/>
      <c r="L63" s="33"/>
    </row>
    <row r="64" spans="1:12" ht="15.75" customHeight="1" x14ac:dyDescent="0.25">
      <c r="A64" s="33"/>
      <c r="B64" s="33"/>
      <c r="C64" s="35"/>
      <c r="D64" s="35"/>
      <c r="E64" s="35"/>
      <c r="F64" s="49"/>
      <c r="G64" s="49"/>
      <c r="H64" s="33"/>
      <c r="I64" s="33"/>
      <c r="J64" s="33"/>
      <c r="K64" s="35"/>
      <c r="L64" s="33"/>
    </row>
    <row r="65" spans="1:12" ht="15.75" customHeight="1" x14ac:dyDescent="0.25">
      <c r="A65" s="33"/>
      <c r="B65" s="33"/>
      <c r="C65" s="35"/>
      <c r="D65" s="35"/>
      <c r="E65" s="35"/>
      <c r="F65" s="49"/>
      <c r="G65" s="49"/>
      <c r="H65" s="33"/>
      <c r="I65" s="33"/>
      <c r="J65" s="33"/>
      <c r="K65" s="35"/>
      <c r="L65" s="33"/>
    </row>
    <row r="66" spans="1:12" ht="15.75" customHeight="1" x14ac:dyDescent="0.25">
      <c r="A66" s="33"/>
      <c r="B66" s="33"/>
      <c r="C66" s="35"/>
      <c r="D66" s="35"/>
      <c r="E66" s="35"/>
      <c r="F66" s="49"/>
      <c r="G66" s="49"/>
      <c r="H66" s="33"/>
      <c r="I66" s="33"/>
      <c r="J66" s="33"/>
      <c r="K66" s="35"/>
      <c r="L66" s="33"/>
    </row>
    <row r="67" spans="1:12" ht="15.75" customHeight="1" x14ac:dyDescent="0.25">
      <c r="A67" s="33"/>
      <c r="B67" s="33"/>
      <c r="C67" s="35"/>
      <c r="D67" s="35"/>
      <c r="E67" s="35"/>
      <c r="F67" s="49"/>
      <c r="G67" s="49"/>
      <c r="H67" s="33"/>
      <c r="I67" s="33"/>
      <c r="J67" s="33"/>
      <c r="K67" s="35"/>
      <c r="L67" s="33"/>
    </row>
    <row r="68" spans="1:12" ht="15.75" customHeight="1" x14ac:dyDescent="0.25">
      <c r="A68" s="33"/>
      <c r="B68" s="33"/>
      <c r="C68" s="35"/>
      <c r="D68" s="35"/>
      <c r="E68" s="35"/>
      <c r="F68" s="49"/>
      <c r="G68" s="49"/>
      <c r="H68" s="33"/>
      <c r="I68" s="33"/>
      <c r="J68" s="33"/>
      <c r="K68" s="35"/>
      <c r="L68" s="33"/>
    </row>
    <row r="69" spans="1:12" ht="15.75" customHeight="1" x14ac:dyDescent="0.25">
      <c r="A69" s="33"/>
      <c r="B69" s="33"/>
      <c r="C69" s="35"/>
      <c r="D69" s="35"/>
      <c r="E69" s="35"/>
      <c r="F69" s="49"/>
      <c r="G69" s="49"/>
      <c r="H69" s="33"/>
      <c r="I69" s="33"/>
      <c r="J69" s="33"/>
      <c r="K69" s="35"/>
      <c r="L69" s="33"/>
    </row>
    <row r="70" spans="1:12" ht="15.75" customHeight="1" x14ac:dyDescent="0.25">
      <c r="A70" s="33"/>
      <c r="B70" s="33"/>
      <c r="C70" s="35"/>
      <c r="D70" s="35"/>
      <c r="E70" s="35"/>
      <c r="F70" s="49"/>
      <c r="G70" s="49"/>
      <c r="H70" s="33"/>
      <c r="I70" s="33"/>
      <c r="J70" s="33"/>
      <c r="K70" s="35"/>
      <c r="L70" s="33"/>
    </row>
    <row r="71" spans="1:12" ht="15.75" customHeight="1" x14ac:dyDescent="0.25">
      <c r="A71" s="33"/>
      <c r="B71" s="33"/>
      <c r="C71" s="35"/>
      <c r="D71" s="35"/>
      <c r="E71" s="35"/>
      <c r="F71" s="49"/>
      <c r="G71" s="49"/>
      <c r="H71" s="33"/>
      <c r="I71" s="33"/>
      <c r="J71" s="33"/>
      <c r="K71" s="35"/>
      <c r="L71" s="33"/>
    </row>
    <row r="72" spans="1:12" ht="15.75" customHeight="1" x14ac:dyDescent="0.25">
      <c r="A72" s="33"/>
      <c r="B72" s="33"/>
      <c r="C72" s="35"/>
      <c r="D72" s="35"/>
      <c r="E72" s="35"/>
      <c r="F72" s="49"/>
      <c r="G72" s="49"/>
      <c r="H72" s="33"/>
      <c r="I72" s="33"/>
      <c r="J72" s="33"/>
      <c r="K72" s="35"/>
      <c r="L72" s="33"/>
    </row>
    <row r="73" spans="1:12" ht="15.75" customHeight="1" x14ac:dyDescent="0.25">
      <c r="A73" s="33"/>
      <c r="B73" s="33"/>
      <c r="C73" s="35"/>
      <c r="D73" s="35"/>
      <c r="E73" s="35"/>
      <c r="F73" s="49"/>
      <c r="G73" s="49"/>
      <c r="H73" s="33"/>
      <c r="I73" s="33"/>
      <c r="J73" s="33"/>
      <c r="K73" s="35"/>
      <c r="L73" s="33"/>
    </row>
    <row r="74" spans="1:12" ht="15.75" customHeight="1" x14ac:dyDescent="0.25">
      <c r="A74" s="33"/>
      <c r="B74" s="33"/>
      <c r="C74" s="35"/>
      <c r="D74" s="35"/>
      <c r="E74" s="35"/>
      <c r="F74" s="49"/>
      <c r="G74" s="49"/>
      <c r="H74" s="33"/>
      <c r="I74" s="33"/>
      <c r="J74" s="33"/>
      <c r="K74" s="35"/>
      <c r="L74" s="33"/>
    </row>
    <row r="75" spans="1:12" ht="15.75" customHeight="1" x14ac:dyDescent="0.25">
      <c r="A75" s="33"/>
      <c r="B75" s="33"/>
      <c r="C75" s="35"/>
      <c r="D75" s="35"/>
      <c r="E75" s="35"/>
      <c r="F75" s="49"/>
      <c r="G75" s="49"/>
      <c r="H75" s="33"/>
      <c r="I75" s="33"/>
      <c r="J75" s="33"/>
      <c r="K75" s="35"/>
      <c r="L75" s="33"/>
    </row>
    <row r="76" spans="1:12" ht="15.75" customHeight="1" x14ac:dyDescent="0.25">
      <c r="A76" s="33"/>
      <c r="B76" s="33"/>
      <c r="C76" s="35"/>
      <c r="D76" s="35"/>
      <c r="E76" s="35"/>
      <c r="F76" s="49"/>
      <c r="G76" s="49"/>
      <c r="H76" s="33"/>
      <c r="I76" s="33"/>
      <c r="J76" s="33"/>
      <c r="K76" s="35"/>
      <c r="L76" s="33"/>
    </row>
    <row r="77" spans="1:12" ht="15.75" customHeight="1" x14ac:dyDescent="0.25">
      <c r="A77" s="33"/>
      <c r="B77" s="33"/>
      <c r="C77" s="35"/>
      <c r="D77" s="35"/>
      <c r="E77" s="35"/>
      <c r="F77" s="49"/>
      <c r="G77" s="49"/>
      <c r="H77" s="33"/>
      <c r="I77" s="33"/>
      <c r="J77" s="33"/>
      <c r="K77" s="35"/>
      <c r="L77" s="33"/>
    </row>
    <row r="78" spans="1:12" ht="15.75" customHeight="1" x14ac:dyDescent="0.25">
      <c r="A78" s="33"/>
      <c r="B78" s="33"/>
      <c r="C78" s="35"/>
      <c r="D78" s="35"/>
      <c r="E78" s="35"/>
      <c r="F78" s="49"/>
      <c r="G78" s="49"/>
      <c r="H78" s="33"/>
      <c r="I78" s="33"/>
      <c r="J78" s="33"/>
      <c r="K78" s="35"/>
      <c r="L78" s="33"/>
    </row>
    <row r="79" spans="1:12" ht="15.75" customHeight="1" x14ac:dyDescent="0.25">
      <c r="A79" s="33"/>
      <c r="B79" s="33"/>
      <c r="C79" s="35"/>
      <c r="D79" s="35"/>
      <c r="E79" s="35"/>
      <c r="F79" s="49"/>
      <c r="G79" s="49"/>
      <c r="H79" s="33"/>
      <c r="I79" s="33"/>
      <c r="J79" s="33"/>
      <c r="K79" s="35"/>
      <c r="L79" s="33"/>
    </row>
    <row r="80" spans="1:12" ht="15.75" customHeight="1" x14ac:dyDescent="0.25">
      <c r="A80" s="33"/>
      <c r="B80" s="33"/>
      <c r="C80" s="35"/>
      <c r="D80" s="35"/>
      <c r="E80" s="35"/>
      <c r="F80" s="49"/>
      <c r="G80" s="49"/>
      <c r="H80" s="33"/>
      <c r="I80" s="33"/>
      <c r="J80" s="33"/>
      <c r="K80" s="35"/>
      <c r="L80" s="33"/>
    </row>
    <row r="81" spans="1:12" ht="15.75" customHeight="1" x14ac:dyDescent="0.25">
      <c r="A81" s="33"/>
      <c r="B81" s="33"/>
      <c r="C81" s="35"/>
      <c r="D81" s="35"/>
      <c r="E81" s="35"/>
      <c r="F81" s="49"/>
      <c r="G81" s="49"/>
      <c r="H81" s="33"/>
      <c r="I81" s="33"/>
      <c r="J81" s="33"/>
      <c r="K81" s="35"/>
      <c r="L81" s="33"/>
    </row>
    <row r="82" spans="1:12" ht="15.75" customHeight="1" x14ac:dyDescent="0.25">
      <c r="A82" s="33"/>
      <c r="B82" s="33"/>
      <c r="C82" s="35"/>
      <c r="D82" s="35"/>
      <c r="E82" s="35"/>
      <c r="F82" s="49"/>
      <c r="G82" s="49"/>
      <c r="H82" s="33"/>
      <c r="I82" s="33"/>
      <c r="J82" s="33"/>
      <c r="K82" s="35"/>
      <c r="L82" s="33"/>
    </row>
    <row r="83" spans="1:12" ht="15.75" customHeight="1" x14ac:dyDescent="0.25">
      <c r="A83" s="33"/>
      <c r="B83" s="33"/>
      <c r="C83" s="35"/>
      <c r="D83" s="35"/>
      <c r="E83" s="35"/>
      <c r="F83" s="49"/>
      <c r="G83" s="49"/>
      <c r="H83" s="33"/>
      <c r="I83" s="33"/>
      <c r="J83" s="33"/>
      <c r="K83" s="35"/>
      <c r="L83" s="33"/>
    </row>
    <row r="84" spans="1:12" ht="15.75" customHeight="1" x14ac:dyDescent="0.25">
      <c r="A84" s="33"/>
      <c r="B84" s="33"/>
      <c r="C84" s="35"/>
      <c r="D84" s="35"/>
      <c r="E84" s="35"/>
      <c r="F84" s="49"/>
      <c r="G84" s="49"/>
      <c r="H84" s="33"/>
      <c r="I84" s="33"/>
      <c r="J84" s="33"/>
      <c r="K84" s="35"/>
      <c r="L84" s="33"/>
    </row>
    <row r="85" spans="1:12" ht="15.75" customHeight="1" x14ac:dyDescent="0.25">
      <c r="A85" s="33"/>
      <c r="B85" s="33"/>
      <c r="C85" s="35"/>
      <c r="D85" s="35"/>
      <c r="E85" s="35"/>
      <c r="F85" s="49"/>
      <c r="G85" s="49"/>
      <c r="H85" s="33"/>
      <c r="I85" s="33"/>
      <c r="J85" s="33"/>
      <c r="K85" s="35"/>
      <c r="L85" s="33"/>
    </row>
    <row r="86" spans="1:12" ht="15.75" customHeight="1" x14ac:dyDescent="0.25">
      <c r="A86" s="33"/>
      <c r="B86" s="33"/>
      <c r="C86" s="35"/>
      <c r="D86" s="35"/>
      <c r="E86" s="35"/>
      <c r="F86" s="49"/>
      <c r="G86" s="49"/>
      <c r="H86" s="33"/>
      <c r="I86" s="33"/>
      <c r="J86" s="33"/>
      <c r="K86" s="35"/>
      <c r="L86" s="33"/>
    </row>
    <row r="87" spans="1:12" ht="15.75" customHeight="1" x14ac:dyDescent="0.25">
      <c r="A87" s="33"/>
      <c r="B87" s="33"/>
      <c r="C87" s="35"/>
      <c r="D87" s="35"/>
      <c r="E87" s="35"/>
      <c r="F87" s="49"/>
      <c r="G87" s="49"/>
      <c r="H87" s="33"/>
      <c r="I87" s="33"/>
      <c r="J87" s="33"/>
      <c r="K87" s="35"/>
      <c r="L87" s="33"/>
    </row>
    <row r="88" spans="1:12" ht="15.75" customHeight="1" x14ac:dyDescent="0.25">
      <c r="A88" s="33"/>
      <c r="B88" s="33"/>
      <c r="C88" s="35"/>
      <c r="D88" s="35"/>
      <c r="E88" s="35"/>
      <c r="F88" s="49"/>
      <c r="G88" s="49"/>
      <c r="H88" s="33"/>
      <c r="I88" s="33"/>
      <c r="J88" s="33"/>
      <c r="K88" s="35"/>
      <c r="L88" s="33"/>
    </row>
    <row r="89" spans="1:12" ht="15.75" customHeight="1" x14ac:dyDescent="0.25">
      <c r="A89" s="33"/>
      <c r="B89" s="33"/>
      <c r="C89" s="35"/>
      <c r="D89" s="35"/>
      <c r="E89" s="35"/>
      <c r="F89" s="49"/>
      <c r="G89" s="49"/>
      <c r="H89" s="33"/>
      <c r="I89" s="33"/>
      <c r="J89" s="33"/>
      <c r="K89" s="35"/>
      <c r="L89" s="33"/>
    </row>
    <row r="90" spans="1:12" ht="15.75" customHeight="1" x14ac:dyDescent="0.25">
      <c r="A90" s="33"/>
      <c r="B90" s="33"/>
      <c r="C90" s="35"/>
      <c r="D90" s="35"/>
      <c r="E90" s="35"/>
      <c r="F90" s="49"/>
      <c r="G90" s="49"/>
      <c r="H90" s="33"/>
      <c r="I90" s="33"/>
      <c r="J90" s="33"/>
      <c r="K90" s="35"/>
      <c r="L90" s="33"/>
    </row>
    <row r="91" spans="1:12" ht="15.75" customHeight="1" x14ac:dyDescent="0.25">
      <c r="A91" s="33"/>
      <c r="B91" s="33"/>
      <c r="C91" s="35"/>
      <c r="D91" s="35"/>
      <c r="E91" s="35"/>
      <c r="F91" s="49"/>
      <c r="G91" s="49"/>
      <c r="H91" s="33"/>
      <c r="I91" s="33"/>
      <c r="J91" s="33"/>
      <c r="K91" s="35"/>
      <c r="L91" s="33"/>
    </row>
    <row r="92" spans="1:12" ht="15.75" customHeight="1" x14ac:dyDescent="0.25">
      <c r="A92" s="33"/>
      <c r="B92" s="33"/>
      <c r="C92" s="35"/>
      <c r="D92" s="35"/>
      <c r="E92" s="35"/>
      <c r="F92" s="49"/>
      <c r="G92" s="49"/>
      <c r="H92" s="33"/>
      <c r="I92" s="33"/>
      <c r="J92" s="33"/>
      <c r="K92" s="35"/>
      <c r="L92" s="33"/>
    </row>
    <row r="93" spans="1:12" ht="15.75" customHeight="1" x14ac:dyDescent="0.25">
      <c r="A93" s="33"/>
      <c r="B93" s="33"/>
      <c r="C93" s="35"/>
      <c r="D93" s="35"/>
      <c r="E93" s="35"/>
      <c r="F93" s="49"/>
      <c r="G93" s="49"/>
      <c r="H93" s="33"/>
      <c r="I93" s="33"/>
      <c r="J93" s="33"/>
      <c r="K93" s="35"/>
      <c r="L93" s="33"/>
    </row>
    <row r="94" spans="1:12" ht="15.75" customHeight="1" x14ac:dyDescent="0.25">
      <c r="A94" s="33"/>
      <c r="B94" s="33"/>
      <c r="C94" s="35"/>
      <c r="D94" s="35"/>
      <c r="E94" s="35"/>
      <c r="F94" s="49"/>
      <c r="G94" s="49"/>
      <c r="H94" s="33"/>
      <c r="I94" s="33"/>
      <c r="J94" s="33"/>
      <c r="K94" s="35"/>
      <c r="L94" s="33"/>
    </row>
    <row r="95" spans="1:12" ht="15.75" customHeight="1" x14ac:dyDescent="0.25">
      <c r="A95" s="33"/>
      <c r="B95" s="33"/>
      <c r="C95" s="35"/>
      <c r="D95" s="35"/>
      <c r="E95" s="35"/>
      <c r="F95" s="49"/>
      <c r="G95" s="49"/>
      <c r="H95" s="33"/>
      <c r="I95" s="33"/>
      <c r="J95" s="33"/>
      <c r="K95" s="35"/>
      <c r="L95" s="33"/>
    </row>
    <row r="96" spans="1:12" ht="15.75" customHeight="1" x14ac:dyDescent="0.25">
      <c r="A96" s="33"/>
      <c r="B96" s="33"/>
      <c r="C96" s="35"/>
      <c r="D96" s="35"/>
      <c r="E96" s="35"/>
      <c r="F96" s="49"/>
      <c r="G96" s="49"/>
      <c r="H96" s="33"/>
      <c r="I96" s="33"/>
      <c r="J96" s="33"/>
      <c r="K96" s="35"/>
      <c r="L96" s="33"/>
    </row>
    <row r="97" spans="1:12" ht="15.75" customHeight="1" x14ac:dyDescent="0.25">
      <c r="A97" s="33"/>
      <c r="B97" s="33"/>
      <c r="C97" s="35"/>
      <c r="D97" s="35"/>
      <c r="E97" s="35"/>
      <c r="F97" s="49"/>
      <c r="G97" s="49"/>
      <c r="H97" s="33"/>
      <c r="I97" s="33"/>
      <c r="J97" s="33"/>
      <c r="K97" s="35"/>
      <c r="L97" s="33"/>
    </row>
    <row r="98" spans="1:12" ht="15.75" customHeight="1" x14ac:dyDescent="0.25">
      <c r="A98" s="33"/>
      <c r="B98" s="33"/>
      <c r="C98" s="35"/>
      <c r="D98" s="35"/>
      <c r="E98" s="35"/>
      <c r="F98" s="49"/>
      <c r="G98" s="49"/>
      <c r="H98" s="33"/>
      <c r="I98" s="33"/>
      <c r="J98" s="33"/>
      <c r="K98" s="35"/>
      <c r="L98" s="33"/>
    </row>
    <row r="99" spans="1:12" ht="15.75" customHeight="1" x14ac:dyDescent="0.25">
      <c r="A99" s="33"/>
      <c r="B99" s="33"/>
      <c r="C99" s="35"/>
      <c r="D99" s="35"/>
      <c r="E99" s="35"/>
      <c r="F99" s="49"/>
      <c r="G99" s="49"/>
      <c r="H99" s="33"/>
      <c r="I99" s="33"/>
      <c r="J99" s="33"/>
      <c r="K99" s="35"/>
      <c r="L99" s="33"/>
    </row>
    <row r="100" spans="1:12" ht="15.75" customHeight="1" x14ac:dyDescent="0.25">
      <c r="A100" s="33"/>
      <c r="B100" s="33"/>
      <c r="C100" s="35"/>
      <c r="D100" s="35"/>
      <c r="E100" s="35"/>
      <c r="F100" s="49"/>
      <c r="G100" s="49"/>
      <c r="H100" s="33"/>
      <c r="I100" s="33"/>
      <c r="J100" s="33"/>
      <c r="K100" s="35"/>
      <c r="L100" s="33"/>
    </row>
    <row r="101" spans="1:12" ht="15.75" customHeight="1" x14ac:dyDescent="0.25">
      <c r="A101" s="33"/>
      <c r="B101" s="33"/>
      <c r="C101" s="35"/>
      <c r="D101" s="35"/>
      <c r="E101" s="35"/>
      <c r="F101" s="49"/>
      <c r="G101" s="49"/>
      <c r="H101" s="33"/>
      <c r="I101" s="33"/>
      <c r="J101" s="33"/>
      <c r="K101" s="35"/>
      <c r="L101" s="33"/>
    </row>
    <row r="102" spans="1:12" ht="15.75" customHeight="1" x14ac:dyDescent="0.25">
      <c r="A102" s="33"/>
      <c r="B102" s="33"/>
      <c r="C102" s="35"/>
      <c r="D102" s="35"/>
      <c r="E102" s="35"/>
      <c r="F102" s="49"/>
      <c r="G102" s="49"/>
      <c r="H102" s="33"/>
      <c r="I102" s="33"/>
      <c r="J102" s="33"/>
      <c r="K102" s="35"/>
      <c r="L102" s="33"/>
    </row>
    <row r="103" spans="1:12" ht="15.75" customHeight="1" x14ac:dyDescent="0.25">
      <c r="A103" s="33"/>
      <c r="B103" s="33"/>
      <c r="C103" s="35"/>
      <c r="D103" s="35"/>
      <c r="E103" s="35"/>
      <c r="F103" s="49"/>
      <c r="G103" s="49"/>
      <c r="H103" s="33"/>
      <c r="I103" s="33"/>
      <c r="J103" s="33"/>
      <c r="K103" s="35"/>
      <c r="L103" s="33"/>
    </row>
    <row r="104" spans="1:12" ht="15.75" customHeight="1" x14ac:dyDescent="0.25">
      <c r="A104" s="33"/>
      <c r="B104" s="33"/>
      <c r="C104" s="35"/>
      <c r="D104" s="35"/>
      <c r="E104" s="35"/>
      <c r="F104" s="49"/>
      <c r="G104" s="49"/>
      <c r="H104" s="33"/>
      <c r="I104" s="33"/>
      <c r="J104" s="33"/>
      <c r="K104" s="35"/>
      <c r="L104" s="33"/>
    </row>
    <row r="105" spans="1:12" ht="15.75" customHeight="1" x14ac:dyDescent="0.25">
      <c r="A105" s="33"/>
      <c r="B105" s="33"/>
      <c r="C105" s="35"/>
      <c r="D105" s="35"/>
      <c r="E105" s="35"/>
      <c r="F105" s="49"/>
      <c r="G105" s="49"/>
      <c r="H105" s="33"/>
      <c r="I105" s="33"/>
      <c r="J105" s="33"/>
      <c r="K105" s="35"/>
      <c r="L105" s="33"/>
    </row>
    <row r="106" spans="1:12" ht="15.75" customHeight="1" x14ac:dyDescent="0.25">
      <c r="A106" s="33"/>
      <c r="B106" s="33"/>
      <c r="C106" s="35"/>
      <c r="D106" s="35"/>
      <c r="E106" s="35"/>
      <c r="F106" s="49"/>
      <c r="G106" s="49"/>
      <c r="H106" s="33"/>
      <c r="I106" s="33"/>
      <c r="J106" s="33"/>
      <c r="K106" s="35"/>
      <c r="L106" s="33"/>
    </row>
    <row r="107" spans="1:12" ht="15.75" customHeight="1" x14ac:dyDescent="0.25">
      <c r="A107" s="33"/>
      <c r="B107" s="33"/>
      <c r="C107" s="35"/>
      <c r="D107" s="35"/>
      <c r="E107" s="35"/>
      <c r="F107" s="49"/>
      <c r="G107" s="49"/>
      <c r="H107" s="33"/>
      <c r="I107" s="33"/>
      <c r="J107" s="33"/>
      <c r="K107" s="35"/>
      <c r="L107" s="33"/>
    </row>
    <row r="108" spans="1:12" ht="15.75" customHeight="1" x14ac:dyDescent="0.25">
      <c r="A108" s="33"/>
      <c r="B108" s="33"/>
      <c r="C108" s="35"/>
      <c r="D108" s="35"/>
      <c r="E108" s="35"/>
      <c r="F108" s="49"/>
      <c r="G108" s="49"/>
      <c r="H108" s="33"/>
      <c r="I108" s="33"/>
      <c r="J108" s="33"/>
      <c r="K108" s="35"/>
      <c r="L108" s="33"/>
    </row>
    <row r="109" spans="1:12" ht="15.75" customHeight="1" x14ac:dyDescent="0.25">
      <c r="A109" s="33"/>
      <c r="B109" s="33"/>
      <c r="C109" s="35"/>
      <c r="D109" s="35"/>
      <c r="E109" s="35"/>
      <c r="F109" s="49"/>
      <c r="G109" s="49"/>
      <c r="H109" s="33"/>
      <c r="I109" s="33"/>
      <c r="J109" s="33"/>
      <c r="K109" s="35"/>
      <c r="L109" s="33"/>
    </row>
    <row r="110" spans="1:12" ht="15.75" customHeight="1" x14ac:dyDescent="0.25">
      <c r="A110" s="33"/>
      <c r="B110" s="33"/>
      <c r="C110" s="35"/>
      <c r="D110" s="35"/>
      <c r="E110" s="35"/>
      <c r="F110" s="49"/>
      <c r="G110" s="49"/>
      <c r="H110" s="33"/>
      <c r="I110" s="33"/>
      <c r="J110" s="33"/>
      <c r="K110" s="35"/>
      <c r="L110" s="33"/>
    </row>
    <row r="111" spans="1:12" ht="15.75" customHeight="1" x14ac:dyDescent="0.25">
      <c r="A111" s="33"/>
      <c r="B111" s="33"/>
      <c r="C111" s="35"/>
      <c r="D111" s="35"/>
      <c r="E111" s="35"/>
      <c r="F111" s="49"/>
      <c r="G111" s="49"/>
      <c r="H111" s="33"/>
      <c r="I111" s="33"/>
      <c r="J111" s="33"/>
      <c r="K111" s="35"/>
      <c r="L111" s="33"/>
    </row>
    <row r="112" spans="1:12" ht="15.75" customHeight="1" x14ac:dyDescent="0.25">
      <c r="A112" s="33"/>
      <c r="B112" s="33"/>
      <c r="C112" s="35"/>
      <c r="D112" s="35"/>
      <c r="E112" s="35"/>
      <c r="F112" s="49"/>
      <c r="G112" s="49"/>
      <c r="H112" s="33"/>
      <c r="I112" s="33"/>
      <c r="J112" s="33"/>
      <c r="K112" s="35"/>
      <c r="L112" s="33"/>
    </row>
    <row r="113" spans="1:12" ht="15.75" customHeight="1" x14ac:dyDescent="0.25">
      <c r="A113" s="33"/>
      <c r="B113" s="33"/>
      <c r="C113" s="35"/>
      <c r="D113" s="35"/>
      <c r="E113" s="35"/>
      <c r="F113" s="49"/>
      <c r="G113" s="49"/>
      <c r="H113" s="33"/>
      <c r="I113" s="33"/>
      <c r="J113" s="33"/>
      <c r="K113" s="35"/>
      <c r="L113" s="33"/>
    </row>
    <row r="114" spans="1:12" ht="15.75" customHeight="1" x14ac:dyDescent="0.25">
      <c r="A114" s="33"/>
      <c r="B114" s="33"/>
      <c r="C114" s="35"/>
      <c r="D114" s="35"/>
      <c r="E114" s="35"/>
      <c r="F114" s="49"/>
      <c r="G114" s="49"/>
      <c r="H114" s="33"/>
      <c r="I114" s="33"/>
      <c r="J114" s="33"/>
      <c r="K114" s="35"/>
      <c r="L114" s="33"/>
    </row>
    <row r="115" spans="1:12" ht="15.75" customHeight="1" x14ac:dyDescent="0.25">
      <c r="A115" s="33"/>
      <c r="B115" s="33"/>
      <c r="C115" s="35"/>
      <c r="D115" s="35"/>
      <c r="E115" s="35"/>
      <c r="F115" s="49"/>
      <c r="G115" s="49"/>
      <c r="H115" s="33"/>
      <c r="I115" s="33"/>
      <c r="J115" s="33"/>
      <c r="K115" s="35"/>
      <c r="L115" s="33"/>
    </row>
    <row r="116" spans="1:12" ht="15.75" customHeight="1" x14ac:dyDescent="0.25">
      <c r="A116" s="33"/>
      <c r="B116" s="33"/>
      <c r="C116" s="35"/>
      <c r="D116" s="35"/>
      <c r="E116" s="35"/>
      <c r="F116" s="49"/>
      <c r="G116" s="49"/>
      <c r="H116" s="33"/>
      <c r="I116" s="33"/>
      <c r="J116" s="33"/>
      <c r="K116" s="35"/>
      <c r="L116" s="33"/>
    </row>
    <row r="117" spans="1:12" ht="15.75" customHeight="1" x14ac:dyDescent="0.25">
      <c r="A117" s="33"/>
      <c r="B117" s="33"/>
      <c r="C117" s="35"/>
      <c r="D117" s="35"/>
      <c r="E117" s="35"/>
      <c r="F117" s="49"/>
      <c r="G117" s="49"/>
      <c r="H117" s="33"/>
      <c r="I117" s="33"/>
      <c r="J117" s="33"/>
      <c r="K117" s="35"/>
      <c r="L117" s="33"/>
    </row>
    <row r="118" spans="1:12" ht="15.75" customHeight="1" x14ac:dyDescent="0.25">
      <c r="A118" s="33"/>
      <c r="B118" s="33"/>
      <c r="C118" s="35"/>
      <c r="D118" s="35"/>
      <c r="E118" s="35"/>
      <c r="F118" s="49"/>
      <c r="G118" s="49"/>
      <c r="H118" s="33"/>
      <c r="I118" s="33"/>
      <c r="J118" s="33"/>
      <c r="K118" s="35"/>
      <c r="L118" s="33"/>
    </row>
    <row r="119" spans="1:12" ht="15.75" customHeight="1" x14ac:dyDescent="0.25">
      <c r="A119" s="33"/>
      <c r="B119" s="33"/>
      <c r="C119" s="35"/>
      <c r="D119" s="35"/>
      <c r="E119" s="35"/>
      <c r="F119" s="49"/>
      <c r="G119" s="49"/>
      <c r="H119" s="33"/>
      <c r="I119" s="33"/>
      <c r="J119" s="33"/>
      <c r="K119" s="35"/>
      <c r="L119" s="33"/>
    </row>
    <row r="120" spans="1:12" ht="15.75" customHeight="1" x14ac:dyDescent="0.25">
      <c r="A120" s="33"/>
      <c r="B120" s="33"/>
      <c r="C120" s="35"/>
      <c r="D120" s="35"/>
      <c r="E120" s="35"/>
      <c r="F120" s="49"/>
      <c r="G120" s="49"/>
      <c r="H120" s="33"/>
      <c r="I120" s="33"/>
      <c r="J120" s="33"/>
      <c r="K120" s="35"/>
      <c r="L120" s="33"/>
    </row>
    <row r="121" spans="1:12" ht="15.75" customHeight="1" x14ac:dyDescent="0.25">
      <c r="A121" s="33"/>
      <c r="B121" s="33"/>
      <c r="C121" s="35"/>
      <c r="D121" s="35"/>
      <c r="E121" s="35"/>
      <c r="F121" s="49"/>
      <c r="G121" s="49"/>
      <c r="H121" s="33"/>
      <c r="I121" s="33"/>
      <c r="J121" s="33"/>
      <c r="K121" s="35"/>
      <c r="L121" s="33"/>
    </row>
    <row r="122" spans="1:12" ht="15.75" customHeight="1" x14ac:dyDescent="0.25">
      <c r="A122" s="33"/>
      <c r="B122" s="33"/>
      <c r="C122" s="35"/>
      <c r="D122" s="35"/>
      <c r="E122" s="35"/>
      <c r="F122" s="49"/>
      <c r="G122" s="49"/>
      <c r="H122" s="33"/>
      <c r="I122" s="33"/>
      <c r="J122" s="33"/>
      <c r="K122" s="35"/>
      <c r="L122" s="33"/>
    </row>
    <row r="123" spans="1:12" ht="15.75" customHeight="1" x14ac:dyDescent="0.25">
      <c r="A123" s="33"/>
      <c r="B123" s="33"/>
      <c r="C123" s="35"/>
      <c r="D123" s="35"/>
      <c r="E123" s="35"/>
      <c r="F123" s="49"/>
      <c r="G123" s="49"/>
      <c r="H123" s="33"/>
      <c r="I123" s="33"/>
      <c r="J123" s="33"/>
      <c r="K123" s="35"/>
      <c r="L123" s="33"/>
    </row>
    <row r="124" spans="1:12" ht="15.75" customHeight="1" x14ac:dyDescent="0.25">
      <c r="A124" s="33"/>
      <c r="B124" s="33"/>
      <c r="C124" s="35"/>
      <c r="D124" s="35"/>
      <c r="E124" s="35"/>
      <c r="F124" s="49"/>
      <c r="G124" s="49"/>
      <c r="H124" s="33"/>
      <c r="I124" s="33"/>
      <c r="J124" s="33"/>
      <c r="K124" s="35"/>
      <c r="L124" s="33"/>
    </row>
    <row r="125" spans="1:12" ht="15.75" customHeight="1" x14ac:dyDescent="0.25">
      <c r="A125" s="33"/>
      <c r="B125" s="33"/>
      <c r="C125" s="35"/>
      <c r="D125" s="35"/>
      <c r="E125" s="35"/>
      <c r="F125" s="49"/>
      <c r="G125" s="49"/>
      <c r="H125" s="33"/>
      <c r="I125" s="33"/>
      <c r="J125" s="33"/>
      <c r="K125" s="35"/>
      <c r="L125" s="33"/>
    </row>
    <row r="126" spans="1:12" ht="15.75" customHeight="1" x14ac:dyDescent="0.25">
      <c r="A126" s="33"/>
      <c r="B126" s="33"/>
      <c r="C126" s="35"/>
      <c r="D126" s="35"/>
      <c r="E126" s="35"/>
      <c r="F126" s="49"/>
      <c r="G126" s="49"/>
      <c r="H126" s="33"/>
      <c r="I126" s="33"/>
      <c r="J126" s="33"/>
      <c r="K126" s="35"/>
      <c r="L126" s="33"/>
    </row>
    <row r="127" spans="1:12" ht="15.75" customHeight="1" x14ac:dyDescent="0.25">
      <c r="A127" s="33"/>
      <c r="B127" s="33"/>
      <c r="C127" s="35"/>
      <c r="D127" s="35"/>
      <c r="E127" s="35"/>
      <c r="F127" s="49"/>
      <c r="G127" s="49"/>
      <c r="H127" s="33"/>
      <c r="I127" s="33"/>
      <c r="J127" s="33"/>
      <c r="K127" s="35"/>
      <c r="L127" s="33"/>
    </row>
    <row r="128" spans="1:12" ht="15.75" customHeight="1" x14ac:dyDescent="0.25">
      <c r="A128" s="33"/>
      <c r="B128" s="33"/>
      <c r="C128" s="35"/>
      <c r="D128" s="35"/>
      <c r="E128" s="35"/>
      <c r="F128" s="49"/>
      <c r="G128" s="49"/>
      <c r="H128" s="33"/>
      <c r="I128" s="33"/>
      <c r="J128" s="33"/>
      <c r="K128" s="35"/>
      <c r="L128" s="33"/>
    </row>
    <row r="129" spans="1:12" ht="15.75" customHeight="1" x14ac:dyDescent="0.25">
      <c r="A129" s="33"/>
      <c r="B129" s="33"/>
      <c r="C129" s="35"/>
      <c r="D129" s="35"/>
      <c r="E129" s="35"/>
      <c r="F129" s="49"/>
      <c r="G129" s="49"/>
      <c r="H129" s="33"/>
      <c r="I129" s="33"/>
      <c r="J129" s="33"/>
      <c r="K129" s="35"/>
      <c r="L129" s="33"/>
    </row>
    <row r="130" spans="1:12" ht="15.75" customHeight="1" x14ac:dyDescent="0.25">
      <c r="A130" s="33"/>
      <c r="B130" s="33"/>
      <c r="C130" s="35"/>
      <c r="D130" s="35"/>
      <c r="E130" s="35"/>
      <c r="F130" s="49"/>
      <c r="G130" s="49"/>
      <c r="H130" s="33"/>
      <c r="I130" s="33"/>
      <c r="J130" s="33"/>
      <c r="K130" s="35"/>
      <c r="L130" s="33"/>
    </row>
    <row r="131" spans="1:12" ht="15.75" customHeight="1" x14ac:dyDescent="0.25">
      <c r="A131" s="33"/>
      <c r="B131" s="33"/>
      <c r="C131" s="35"/>
      <c r="D131" s="35"/>
      <c r="E131" s="35"/>
      <c r="F131" s="49"/>
      <c r="G131" s="49"/>
      <c r="H131" s="33"/>
      <c r="I131" s="33"/>
      <c r="J131" s="33"/>
      <c r="K131" s="35"/>
      <c r="L131" s="33"/>
    </row>
    <row r="132" spans="1:12" ht="15.75" customHeight="1" x14ac:dyDescent="0.25">
      <c r="A132" s="33"/>
      <c r="B132" s="33"/>
      <c r="C132" s="35"/>
      <c r="D132" s="35"/>
      <c r="E132" s="35"/>
      <c r="F132" s="49"/>
      <c r="G132" s="49"/>
      <c r="H132" s="33"/>
      <c r="I132" s="33"/>
      <c r="J132" s="33"/>
      <c r="K132" s="35"/>
      <c r="L132" s="33"/>
    </row>
    <row r="133" spans="1:12" ht="15.75" customHeight="1" x14ac:dyDescent="0.25">
      <c r="A133" s="33"/>
      <c r="B133" s="33"/>
      <c r="C133" s="35"/>
      <c r="D133" s="35"/>
      <c r="E133" s="35"/>
      <c r="F133" s="49"/>
      <c r="G133" s="49"/>
      <c r="H133" s="33"/>
      <c r="I133" s="33"/>
      <c r="J133" s="33"/>
      <c r="K133" s="35"/>
      <c r="L133" s="33"/>
    </row>
    <row r="134" spans="1:12" ht="15.75" customHeight="1" x14ac:dyDescent="0.25">
      <c r="A134" s="33"/>
      <c r="B134" s="33"/>
      <c r="C134" s="35"/>
      <c r="D134" s="35"/>
      <c r="E134" s="35"/>
      <c r="F134" s="49"/>
      <c r="G134" s="49"/>
      <c r="H134" s="33"/>
      <c r="I134" s="33"/>
      <c r="J134" s="33"/>
      <c r="K134" s="35"/>
      <c r="L134" s="33"/>
    </row>
    <row r="135" spans="1:12" ht="15.75" customHeight="1" x14ac:dyDescent="0.25">
      <c r="A135" s="33"/>
      <c r="B135" s="33"/>
      <c r="C135" s="35"/>
      <c r="D135" s="35"/>
      <c r="E135" s="35"/>
      <c r="F135" s="49"/>
      <c r="G135" s="49"/>
      <c r="H135" s="33"/>
      <c r="I135" s="33"/>
      <c r="J135" s="33"/>
      <c r="K135" s="35"/>
      <c r="L135" s="33"/>
    </row>
    <row r="136" spans="1:12" ht="15.75" customHeight="1" x14ac:dyDescent="0.25">
      <c r="A136" s="33"/>
      <c r="B136" s="33"/>
      <c r="C136" s="35"/>
      <c r="D136" s="35"/>
      <c r="E136" s="35"/>
      <c r="F136" s="49"/>
      <c r="G136" s="49"/>
      <c r="H136" s="33"/>
      <c r="I136" s="33"/>
      <c r="J136" s="33"/>
      <c r="K136" s="35"/>
      <c r="L136" s="33"/>
    </row>
    <row r="137" spans="1:12" ht="15.75" customHeight="1" x14ac:dyDescent="0.25">
      <c r="A137" s="33"/>
      <c r="B137" s="33"/>
      <c r="C137" s="35"/>
      <c r="D137" s="35"/>
      <c r="E137" s="35"/>
      <c r="F137" s="49"/>
      <c r="G137" s="49"/>
      <c r="H137" s="33"/>
      <c r="I137" s="33"/>
      <c r="J137" s="33"/>
      <c r="K137" s="35"/>
      <c r="L137" s="33"/>
    </row>
    <row r="138" spans="1:12" ht="15.75" customHeight="1" x14ac:dyDescent="0.25">
      <c r="A138" s="33"/>
      <c r="B138" s="33"/>
      <c r="C138" s="35"/>
      <c r="D138" s="35"/>
      <c r="E138" s="35"/>
      <c r="F138" s="49"/>
      <c r="G138" s="49"/>
      <c r="H138" s="33"/>
      <c r="I138" s="33"/>
      <c r="J138" s="33"/>
      <c r="K138" s="35"/>
      <c r="L138" s="33"/>
    </row>
    <row r="139" spans="1:12" ht="15.75" customHeight="1" x14ac:dyDescent="0.25">
      <c r="A139" s="33"/>
      <c r="B139" s="33"/>
      <c r="C139" s="35"/>
      <c r="D139" s="35"/>
      <c r="E139" s="35"/>
      <c r="F139" s="49"/>
      <c r="G139" s="49"/>
      <c r="H139" s="33"/>
      <c r="I139" s="33"/>
      <c r="J139" s="33"/>
      <c r="K139" s="35"/>
      <c r="L139" s="33"/>
    </row>
    <row r="140" spans="1:12" ht="15.75" customHeight="1" x14ac:dyDescent="0.25">
      <c r="A140" s="33"/>
      <c r="B140" s="33"/>
      <c r="C140" s="35"/>
      <c r="D140" s="35"/>
      <c r="E140" s="35"/>
      <c r="F140" s="49"/>
      <c r="G140" s="49"/>
      <c r="H140" s="33"/>
      <c r="I140" s="33"/>
      <c r="J140" s="33"/>
      <c r="K140" s="35"/>
      <c r="L140" s="33"/>
    </row>
    <row r="141" spans="1:12" ht="15.75" customHeight="1" x14ac:dyDescent="0.25">
      <c r="A141" s="33"/>
      <c r="B141" s="33"/>
      <c r="C141" s="35"/>
      <c r="D141" s="35"/>
      <c r="E141" s="35"/>
      <c r="F141" s="49"/>
      <c r="G141" s="49"/>
      <c r="H141" s="33"/>
      <c r="I141" s="33"/>
      <c r="J141" s="33"/>
      <c r="K141" s="35"/>
      <c r="L141" s="33"/>
    </row>
    <row r="142" spans="1:12" ht="15.75" customHeight="1" x14ac:dyDescent="0.25">
      <c r="A142" s="33"/>
      <c r="B142" s="33"/>
      <c r="C142" s="35"/>
      <c r="D142" s="35"/>
      <c r="E142" s="35"/>
      <c r="F142" s="49"/>
      <c r="G142" s="49"/>
      <c r="H142" s="33"/>
      <c r="I142" s="33"/>
      <c r="J142" s="33"/>
      <c r="K142" s="35"/>
      <c r="L142" s="33"/>
    </row>
    <row r="143" spans="1:12" ht="15.75" customHeight="1" x14ac:dyDescent="0.25">
      <c r="A143" s="33"/>
      <c r="B143" s="33"/>
      <c r="C143" s="35"/>
      <c r="D143" s="35"/>
      <c r="E143" s="35"/>
      <c r="F143" s="49"/>
      <c r="G143" s="49"/>
      <c r="H143" s="33"/>
      <c r="I143" s="33"/>
      <c r="J143" s="33"/>
      <c r="K143" s="35"/>
      <c r="L143" s="33"/>
    </row>
    <row r="144" spans="1:12" ht="15.75" customHeight="1" x14ac:dyDescent="0.25">
      <c r="A144" s="33"/>
      <c r="B144" s="33"/>
      <c r="C144" s="35"/>
      <c r="D144" s="35"/>
      <c r="E144" s="35"/>
      <c r="F144" s="49"/>
      <c r="G144" s="49"/>
      <c r="H144" s="33"/>
      <c r="I144" s="33"/>
      <c r="J144" s="33"/>
      <c r="K144" s="35"/>
      <c r="L144" s="33"/>
    </row>
    <row r="145" spans="1:12" ht="15.75" customHeight="1" x14ac:dyDescent="0.25">
      <c r="A145" s="33"/>
      <c r="B145" s="33"/>
      <c r="C145" s="35"/>
      <c r="D145" s="35"/>
      <c r="E145" s="35"/>
      <c r="F145" s="49"/>
      <c r="G145" s="49"/>
      <c r="H145" s="33"/>
      <c r="I145" s="33"/>
      <c r="J145" s="33"/>
      <c r="K145" s="35"/>
      <c r="L145" s="33"/>
    </row>
    <row r="146" spans="1:12" ht="15.75" customHeight="1" x14ac:dyDescent="0.25">
      <c r="A146" s="33"/>
      <c r="B146" s="33"/>
      <c r="C146" s="35"/>
      <c r="D146" s="35"/>
      <c r="E146" s="35"/>
      <c r="F146" s="49"/>
      <c r="G146" s="49"/>
      <c r="H146" s="33"/>
      <c r="I146" s="33"/>
      <c r="J146" s="33"/>
      <c r="K146" s="35"/>
      <c r="L146" s="33"/>
    </row>
    <row r="147" spans="1:12" ht="15.75" customHeight="1" x14ac:dyDescent="0.25">
      <c r="A147" s="33"/>
      <c r="B147" s="33"/>
      <c r="C147" s="35"/>
      <c r="D147" s="35"/>
      <c r="E147" s="35"/>
      <c r="F147" s="49"/>
      <c r="G147" s="49"/>
      <c r="H147" s="33"/>
      <c r="I147" s="33"/>
      <c r="J147" s="33"/>
      <c r="K147" s="35"/>
      <c r="L147" s="33"/>
    </row>
    <row r="148" spans="1:12" ht="15.75" customHeight="1" x14ac:dyDescent="0.25">
      <c r="A148" s="33"/>
      <c r="B148" s="33"/>
      <c r="C148" s="35"/>
      <c r="D148" s="35"/>
      <c r="E148" s="35"/>
      <c r="F148" s="49"/>
      <c r="G148" s="49"/>
      <c r="H148" s="33"/>
      <c r="I148" s="33"/>
      <c r="J148" s="33"/>
      <c r="K148" s="35"/>
      <c r="L148" s="33"/>
    </row>
    <row r="149" spans="1:12" ht="15.75" customHeight="1" x14ac:dyDescent="0.25">
      <c r="A149" s="33"/>
      <c r="B149" s="33"/>
      <c r="C149" s="35"/>
      <c r="D149" s="35"/>
      <c r="E149" s="35"/>
      <c r="F149" s="49"/>
      <c r="G149" s="49"/>
      <c r="H149" s="33"/>
      <c r="I149" s="33"/>
      <c r="J149" s="33"/>
      <c r="K149" s="35"/>
      <c r="L149" s="33"/>
    </row>
    <row r="150" spans="1:12" ht="15.75" customHeight="1" x14ac:dyDescent="0.25">
      <c r="A150" s="33"/>
      <c r="B150" s="33"/>
      <c r="C150" s="35"/>
      <c r="D150" s="35"/>
      <c r="E150" s="35"/>
      <c r="F150" s="49"/>
      <c r="G150" s="49"/>
      <c r="H150" s="33"/>
      <c r="I150" s="33"/>
      <c r="J150" s="33"/>
      <c r="K150" s="35"/>
      <c r="L150" s="33"/>
    </row>
    <row r="151" spans="1:12" ht="15.75" customHeight="1" x14ac:dyDescent="0.25">
      <c r="A151" s="33"/>
      <c r="B151" s="33"/>
      <c r="C151" s="35"/>
      <c r="D151" s="35"/>
      <c r="E151" s="35"/>
      <c r="F151" s="49"/>
      <c r="G151" s="49"/>
      <c r="H151" s="33"/>
      <c r="I151" s="33"/>
      <c r="J151" s="33"/>
      <c r="K151" s="35"/>
      <c r="L151" s="33"/>
    </row>
    <row r="152" spans="1:12" ht="15.75" customHeight="1" x14ac:dyDescent="0.25">
      <c r="A152" s="33"/>
      <c r="B152" s="33"/>
      <c r="C152" s="35"/>
      <c r="D152" s="35"/>
      <c r="E152" s="35"/>
      <c r="F152" s="49"/>
      <c r="G152" s="49"/>
      <c r="H152" s="33"/>
      <c r="I152" s="33"/>
      <c r="J152" s="33"/>
      <c r="K152" s="35"/>
      <c r="L152" s="33"/>
    </row>
    <row r="153" spans="1:12" ht="15.75" customHeight="1" x14ac:dyDescent="0.25">
      <c r="A153" s="33"/>
      <c r="B153" s="33"/>
      <c r="C153" s="35"/>
      <c r="D153" s="35"/>
      <c r="E153" s="35"/>
      <c r="F153" s="49"/>
      <c r="G153" s="49"/>
      <c r="H153" s="33"/>
      <c r="I153" s="33"/>
      <c r="J153" s="33"/>
      <c r="K153" s="35"/>
      <c r="L153" s="33"/>
    </row>
    <row r="154" spans="1:12" ht="15.75" customHeight="1" x14ac:dyDescent="0.25">
      <c r="A154" s="33"/>
      <c r="B154" s="33"/>
      <c r="C154" s="35"/>
      <c r="D154" s="35"/>
      <c r="E154" s="35"/>
      <c r="F154" s="49"/>
      <c r="G154" s="49"/>
      <c r="H154" s="33"/>
      <c r="I154" s="33"/>
      <c r="J154" s="33"/>
      <c r="K154" s="35"/>
      <c r="L154" s="33"/>
    </row>
    <row r="155" spans="1:12" ht="15.75" customHeight="1" x14ac:dyDescent="0.25">
      <c r="A155" s="33"/>
      <c r="B155" s="33"/>
      <c r="C155" s="35"/>
      <c r="D155" s="35"/>
      <c r="E155" s="35"/>
      <c r="F155" s="49"/>
      <c r="G155" s="49"/>
      <c r="H155" s="33"/>
      <c r="I155" s="33"/>
      <c r="J155" s="33"/>
      <c r="K155" s="35"/>
      <c r="L155" s="33"/>
    </row>
    <row r="156" spans="1:12" ht="15.75" customHeight="1" x14ac:dyDescent="0.25">
      <c r="A156" s="33"/>
      <c r="B156" s="33"/>
      <c r="C156" s="35"/>
      <c r="D156" s="35"/>
      <c r="E156" s="35"/>
      <c r="F156" s="49"/>
      <c r="G156" s="49"/>
      <c r="H156" s="33"/>
      <c r="I156" s="33"/>
      <c r="J156" s="33"/>
      <c r="K156" s="35"/>
      <c r="L156" s="33"/>
    </row>
    <row r="157" spans="1:12" ht="15.75" customHeight="1" x14ac:dyDescent="0.25">
      <c r="A157" s="33"/>
      <c r="B157" s="33"/>
      <c r="C157" s="35"/>
      <c r="D157" s="35"/>
      <c r="E157" s="35"/>
      <c r="F157" s="49"/>
      <c r="G157" s="49"/>
      <c r="H157" s="33"/>
      <c r="I157" s="33"/>
      <c r="J157" s="33"/>
      <c r="K157" s="35"/>
      <c r="L157" s="33"/>
    </row>
    <row r="158" spans="1:12" ht="15.75" customHeight="1" x14ac:dyDescent="0.25">
      <c r="A158" s="33"/>
      <c r="B158" s="33"/>
      <c r="C158" s="35"/>
      <c r="D158" s="35"/>
      <c r="E158" s="35"/>
      <c r="F158" s="49"/>
      <c r="G158" s="49"/>
      <c r="H158" s="33"/>
      <c r="I158" s="33"/>
      <c r="J158" s="33"/>
      <c r="K158" s="35"/>
      <c r="L158" s="33"/>
    </row>
    <row r="159" spans="1:12" ht="15.75" customHeight="1" x14ac:dyDescent="0.25">
      <c r="A159" s="33"/>
      <c r="B159" s="33"/>
      <c r="C159" s="35"/>
      <c r="D159" s="35"/>
      <c r="E159" s="35"/>
      <c r="F159" s="49"/>
      <c r="G159" s="49"/>
      <c r="H159" s="33"/>
      <c r="I159" s="33"/>
      <c r="J159" s="33"/>
      <c r="K159" s="35"/>
      <c r="L159" s="33"/>
    </row>
    <row r="160" spans="1:12" ht="15.75" customHeight="1" x14ac:dyDescent="0.25">
      <c r="A160" s="33"/>
      <c r="B160" s="33"/>
      <c r="C160" s="35"/>
      <c r="D160" s="35"/>
      <c r="E160" s="35"/>
      <c r="F160" s="49"/>
      <c r="G160" s="49"/>
      <c r="H160" s="33"/>
      <c r="I160" s="33"/>
      <c r="J160" s="33"/>
      <c r="K160" s="35"/>
      <c r="L160" s="33"/>
    </row>
    <row r="161" spans="1:12" ht="15.75" customHeight="1" x14ac:dyDescent="0.25">
      <c r="A161" s="33"/>
      <c r="B161" s="33"/>
      <c r="C161" s="35"/>
      <c r="D161" s="35"/>
      <c r="E161" s="35"/>
      <c r="F161" s="49"/>
      <c r="G161" s="49"/>
      <c r="H161" s="33"/>
      <c r="I161" s="33"/>
      <c r="J161" s="33"/>
      <c r="K161" s="35"/>
      <c r="L161" s="33"/>
    </row>
    <row r="162" spans="1:12" ht="15.75" customHeight="1" x14ac:dyDescent="0.25">
      <c r="A162" s="33"/>
      <c r="B162" s="33"/>
      <c r="C162" s="35"/>
      <c r="D162" s="35"/>
      <c r="E162" s="35"/>
      <c r="F162" s="49"/>
      <c r="G162" s="49"/>
      <c r="H162" s="33"/>
      <c r="I162" s="33"/>
      <c r="J162" s="33"/>
      <c r="K162" s="35"/>
      <c r="L162" s="33"/>
    </row>
    <row r="163" spans="1:12" ht="15.75" customHeight="1" x14ac:dyDescent="0.25">
      <c r="A163" s="33"/>
      <c r="B163" s="33"/>
      <c r="C163" s="35"/>
      <c r="D163" s="35"/>
      <c r="E163" s="35"/>
      <c r="F163" s="49"/>
      <c r="G163" s="49"/>
      <c r="H163" s="33"/>
      <c r="I163" s="33"/>
      <c r="J163" s="33"/>
      <c r="K163" s="35"/>
      <c r="L163" s="33"/>
    </row>
    <row r="164" spans="1:12" ht="15.75" customHeight="1" x14ac:dyDescent="0.25">
      <c r="A164" s="33"/>
      <c r="B164" s="33"/>
      <c r="C164" s="35"/>
      <c r="D164" s="35"/>
      <c r="E164" s="35"/>
      <c r="F164" s="49"/>
      <c r="G164" s="49"/>
      <c r="H164" s="33"/>
      <c r="I164" s="33"/>
      <c r="J164" s="33"/>
      <c r="K164" s="35"/>
      <c r="L164" s="33"/>
    </row>
    <row r="165" spans="1:12" ht="15.75" customHeight="1" x14ac:dyDescent="0.25">
      <c r="A165" s="33"/>
      <c r="B165" s="33"/>
      <c r="C165" s="35"/>
      <c r="D165" s="35"/>
      <c r="E165" s="35"/>
      <c r="F165" s="49"/>
      <c r="G165" s="49"/>
      <c r="H165" s="33"/>
      <c r="I165" s="33"/>
      <c r="J165" s="33"/>
      <c r="K165" s="35"/>
      <c r="L165" s="33"/>
    </row>
    <row r="166" spans="1:12" ht="15.75" customHeight="1" x14ac:dyDescent="0.25">
      <c r="A166" s="33"/>
      <c r="B166" s="33"/>
      <c r="C166" s="35"/>
      <c r="D166" s="35"/>
      <c r="E166" s="35"/>
      <c r="F166" s="49"/>
      <c r="G166" s="49"/>
      <c r="H166" s="33"/>
      <c r="I166" s="33"/>
      <c r="J166" s="33"/>
      <c r="K166" s="35"/>
      <c r="L166" s="33"/>
    </row>
    <row r="167" spans="1:12" ht="15.75" customHeight="1" x14ac:dyDescent="0.25">
      <c r="A167" s="33"/>
      <c r="B167" s="33"/>
      <c r="C167" s="35"/>
      <c r="D167" s="35"/>
      <c r="E167" s="35"/>
      <c r="F167" s="49"/>
      <c r="G167" s="49"/>
      <c r="H167" s="33"/>
      <c r="I167" s="33"/>
      <c r="J167" s="33"/>
      <c r="K167" s="35"/>
      <c r="L167" s="33"/>
    </row>
    <row r="168" spans="1:12" ht="15.75" customHeight="1" x14ac:dyDescent="0.25">
      <c r="A168" s="33"/>
      <c r="B168" s="33"/>
      <c r="C168" s="35"/>
      <c r="D168" s="35"/>
      <c r="E168" s="35"/>
      <c r="F168" s="49"/>
      <c r="G168" s="49"/>
      <c r="H168" s="33"/>
      <c r="I168" s="33"/>
      <c r="J168" s="33"/>
      <c r="K168" s="35"/>
      <c r="L168" s="33"/>
    </row>
    <row r="169" spans="1:12" ht="15.75" customHeight="1" x14ac:dyDescent="0.25">
      <c r="A169" s="33"/>
      <c r="B169" s="33"/>
      <c r="C169" s="35"/>
      <c r="D169" s="35"/>
      <c r="E169" s="35"/>
      <c r="F169" s="49"/>
      <c r="G169" s="49"/>
      <c r="H169" s="33"/>
      <c r="I169" s="33"/>
      <c r="J169" s="33"/>
      <c r="K169" s="35"/>
      <c r="L169" s="33"/>
    </row>
    <row r="170" spans="1:12" ht="15.75" customHeight="1" x14ac:dyDescent="0.25">
      <c r="A170" s="33"/>
      <c r="B170" s="33"/>
      <c r="C170" s="35"/>
      <c r="D170" s="35"/>
      <c r="E170" s="35"/>
      <c r="F170" s="49"/>
      <c r="G170" s="49"/>
      <c r="H170" s="33"/>
      <c r="I170" s="33"/>
      <c r="J170" s="33"/>
      <c r="K170" s="35"/>
      <c r="L170" s="33"/>
    </row>
    <row r="171" spans="1:12" ht="15.75" customHeight="1" x14ac:dyDescent="0.25">
      <c r="A171" s="33"/>
      <c r="B171" s="33"/>
      <c r="C171" s="35"/>
      <c r="D171" s="35"/>
      <c r="E171" s="35"/>
      <c r="F171" s="49"/>
      <c r="G171" s="49"/>
      <c r="H171" s="33"/>
      <c r="I171" s="33"/>
      <c r="J171" s="33"/>
      <c r="K171" s="35"/>
      <c r="L171" s="33"/>
    </row>
    <row r="172" spans="1:12" ht="15.75" customHeight="1" x14ac:dyDescent="0.25">
      <c r="A172" s="33"/>
      <c r="B172" s="33"/>
      <c r="C172" s="35"/>
      <c r="D172" s="35"/>
      <c r="E172" s="35"/>
      <c r="F172" s="49"/>
      <c r="G172" s="49"/>
      <c r="H172" s="33"/>
      <c r="I172" s="33"/>
      <c r="J172" s="33"/>
      <c r="K172" s="35"/>
      <c r="L172" s="33"/>
    </row>
    <row r="173" spans="1:12" ht="15.75" customHeight="1" x14ac:dyDescent="0.25">
      <c r="A173" s="33"/>
      <c r="B173" s="33"/>
      <c r="C173" s="35"/>
      <c r="D173" s="35"/>
      <c r="E173" s="35"/>
      <c r="F173" s="49"/>
      <c r="G173" s="49"/>
      <c r="H173" s="33"/>
      <c r="I173" s="33"/>
      <c r="J173" s="33"/>
      <c r="K173" s="35"/>
      <c r="L173" s="33"/>
    </row>
    <row r="174" spans="1:12" ht="15.75" customHeight="1" x14ac:dyDescent="0.25">
      <c r="A174" s="33"/>
      <c r="B174" s="33"/>
      <c r="C174" s="35"/>
      <c r="D174" s="35"/>
      <c r="E174" s="35"/>
      <c r="F174" s="49"/>
      <c r="G174" s="49"/>
      <c r="H174" s="33"/>
      <c r="I174" s="33"/>
      <c r="J174" s="33"/>
      <c r="K174" s="35"/>
      <c r="L174" s="33"/>
    </row>
    <row r="175" spans="1:12" ht="15.75" customHeight="1" x14ac:dyDescent="0.25">
      <c r="A175" s="33"/>
      <c r="B175" s="33"/>
      <c r="C175" s="35"/>
      <c r="D175" s="35"/>
      <c r="E175" s="35"/>
      <c r="F175" s="49"/>
      <c r="G175" s="49"/>
      <c r="H175" s="33"/>
      <c r="I175" s="33"/>
      <c r="J175" s="33"/>
      <c r="K175" s="35"/>
      <c r="L175" s="33"/>
    </row>
    <row r="176" spans="1:12" ht="15.75" customHeight="1" x14ac:dyDescent="0.25">
      <c r="A176" s="33"/>
      <c r="B176" s="33"/>
      <c r="C176" s="35"/>
      <c r="D176" s="35"/>
      <c r="E176" s="35"/>
      <c r="F176" s="49"/>
      <c r="G176" s="49"/>
      <c r="H176" s="33"/>
      <c r="I176" s="33"/>
      <c r="J176" s="33"/>
      <c r="K176" s="35"/>
      <c r="L176" s="33"/>
    </row>
    <row r="177" spans="1:12" ht="15.75" customHeight="1" x14ac:dyDescent="0.25">
      <c r="A177" s="33"/>
      <c r="B177" s="33"/>
      <c r="C177" s="35"/>
      <c r="D177" s="35"/>
      <c r="E177" s="35"/>
      <c r="F177" s="49"/>
      <c r="G177" s="49"/>
      <c r="H177" s="33"/>
      <c r="I177" s="33"/>
      <c r="J177" s="33"/>
      <c r="K177" s="35"/>
      <c r="L177" s="33"/>
    </row>
    <row r="178" spans="1:12" ht="15.75" customHeight="1" x14ac:dyDescent="0.25">
      <c r="A178" s="33"/>
      <c r="B178" s="33"/>
      <c r="C178" s="35"/>
      <c r="D178" s="35"/>
      <c r="E178" s="35"/>
      <c r="F178" s="49"/>
      <c r="G178" s="49"/>
      <c r="H178" s="33"/>
      <c r="I178" s="33"/>
      <c r="J178" s="33"/>
      <c r="K178" s="35"/>
      <c r="L178" s="33"/>
    </row>
    <row r="179" spans="1:12" ht="15.75" customHeight="1" x14ac:dyDescent="0.25">
      <c r="A179" s="33"/>
      <c r="B179" s="33"/>
      <c r="C179" s="35"/>
      <c r="D179" s="35"/>
      <c r="E179" s="35"/>
      <c r="F179" s="49"/>
      <c r="G179" s="49"/>
      <c r="H179" s="33"/>
      <c r="I179" s="33"/>
      <c r="J179" s="33"/>
      <c r="K179" s="35"/>
      <c r="L179" s="33"/>
    </row>
    <row r="180" spans="1:12" ht="15.75" customHeight="1" x14ac:dyDescent="0.25">
      <c r="A180" s="33"/>
      <c r="B180" s="33"/>
      <c r="C180" s="35"/>
      <c r="D180" s="35"/>
      <c r="E180" s="35"/>
      <c r="F180" s="49"/>
      <c r="G180" s="49"/>
      <c r="H180" s="33"/>
      <c r="I180" s="33"/>
      <c r="J180" s="33"/>
      <c r="K180" s="35"/>
      <c r="L180" s="33"/>
    </row>
    <row r="181" spans="1:12" ht="15.75" customHeight="1" x14ac:dyDescent="0.25">
      <c r="A181" s="33"/>
      <c r="B181" s="33"/>
      <c r="C181" s="35"/>
      <c r="D181" s="35"/>
      <c r="E181" s="35"/>
      <c r="F181" s="49"/>
      <c r="G181" s="49"/>
      <c r="H181" s="33"/>
      <c r="I181" s="33"/>
      <c r="J181" s="33"/>
      <c r="K181" s="35"/>
      <c r="L181" s="33"/>
    </row>
    <row r="182" spans="1:12" ht="15.75" customHeight="1" x14ac:dyDescent="0.25">
      <c r="A182" s="33"/>
      <c r="B182" s="33"/>
      <c r="C182" s="35"/>
      <c r="D182" s="35"/>
      <c r="E182" s="35"/>
      <c r="F182" s="49"/>
      <c r="G182" s="49"/>
      <c r="H182" s="33"/>
      <c r="I182" s="33"/>
      <c r="J182" s="33"/>
      <c r="K182" s="35"/>
      <c r="L182" s="33"/>
    </row>
    <row r="183" spans="1:12" ht="15.75" customHeight="1" x14ac:dyDescent="0.25">
      <c r="A183" s="33"/>
      <c r="B183" s="33"/>
      <c r="C183" s="35"/>
      <c r="D183" s="35"/>
      <c r="E183" s="35"/>
      <c r="F183" s="49"/>
      <c r="G183" s="49"/>
      <c r="H183" s="33"/>
      <c r="I183" s="33"/>
      <c r="J183" s="33"/>
      <c r="K183" s="35"/>
      <c r="L183" s="33"/>
    </row>
    <row r="184" spans="1:12" ht="15.75" customHeight="1" x14ac:dyDescent="0.25">
      <c r="A184" s="33"/>
      <c r="B184" s="33"/>
      <c r="C184" s="35"/>
      <c r="D184" s="35"/>
      <c r="E184" s="35"/>
      <c r="F184" s="49"/>
      <c r="G184" s="49"/>
      <c r="H184" s="33"/>
      <c r="I184" s="33"/>
      <c r="J184" s="33"/>
      <c r="K184" s="35"/>
      <c r="L184" s="33"/>
    </row>
    <row r="185" spans="1:12" ht="15.75" customHeight="1" x14ac:dyDescent="0.25">
      <c r="A185" s="33"/>
      <c r="B185" s="33"/>
      <c r="C185" s="35"/>
      <c r="D185" s="35"/>
      <c r="E185" s="35"/>
      <c r="F185" s="49"/>
      <c r="G185" s="49"/>
      <c r="H185" s="33"/>
      <c r="I185" s="33"/>
      <c r="J185" s="33"/>
      <c r="K185" s="35"/>
      <c r="L185" s="33"/>
    </row>
    <row r="186" spans="1:12" ht="15.75" customHeight="1" x14ac:dyDescent="0.25">
      <c r="A186" s="33"/>
      <c r="B186" s="33"/>
      <c r="C186" s="35"/>
      <c r="D186" s="35"/>
      <c r="E186" s="35"/>
      <c r="F186" s="49"/>
      <c r="G186" s="49"/>
      <c r="H186" s="33"/>
      <c r="I186" s="33"/>
      <c r="J186" s="33"/>
      <c r="K186" s="35"/>
      <c r="L186" s="33"/>
    </row>
    <row r="187" spans="1:12" ht="15.75" customHeight="1" x14ac:dyDescent="0.25">
      <c r="A187" s="33"/>
      <c r="B187" s="33"/>
      <c r="C187" s="35"/>
      <c r="D187" s="35"/>
      <c r="E187" s="35"/>
      <c r="F187" s="49"/>
      <c r="G187" s="49"/>
      <c r="H187" s="33"/>
      <c r="I187" s="33"/>
      <c r="J187" s="33"/>
      <c r="K187" s="35"/>
      <c r="L187" s="33"/>
    </row>
    <row r="188" spans="1:12" ht="15.75" customHeight="1" x14ac:dyDescent="0.25">
      <c r="A188" s="33"/>
      <c r="B188" s="33"/>
      <c r="C188" s="35"/>
      <c r="D188" s="35"/>
      <c r="E188" s="35"/>
      <c r="F188" s="49"/>
      <c r="G188" s="49"/>
      <c r="H188" s="33"/>
      <c r="I188" s="33"/>
      <c r="J188" s="33"/>
      <c r="K188" s="35"/>
      <c r="L188" s="33"/>
    </row>
    <row r="189" spans="1:12" ht="15.75" customHeight="1" x14ac:dyDescent="0.25">
      <c r="A189" s="33"/>
      <c r="B189" s="33"/>
      <c r="C189" s="35"/>
      <c r="D189" s="35"/>
      <c r="E189" s="35"/>
      <c r="F189" s="49"/>
      <c r="G189" s="49"/>
      <c r="H189" s="33"/>
      <c r="I189" s="33"/>
      <c r="J189" s="33"/>
      <c r="K189" s="35"/>
      <c r="L189" s="33"/>
    </row>
    <row r="190" spans="1:12" ht="15.75" customHeight="1" x14ac:dyDescent="0.25">
      <c r="A190" s="33"/>
      <c r="B190" s="33"/>
      <c r="C190" s="35"/>
      <c r="D190" s="35"/>
      <c r="E190" s="35"/>
      <c r="F190" s="49"/>
      <c r="G190" s="49"/>
      <c r="H190" s="33"/>
      <c r="I190" s="33"/>
      <c r="J190" s="33"/>
      <c r="K190" s="35"/>
      <c r="L190" s="33"/>
    </row>
    <row r="191" spans="1:12" ht="15.75" customHeight="1" x14ac:dyDescent="0.25">
      <c r="A191" s="33"/>
      <c r="B191" s="33"/>
      <c r="C191" s="35"/>
      <c r="D191" s="35"/>
      <c r="E191" s="35"/>
      <c r="F191" s="49"/>
      <c r="G191" s="49"/>
      <c r="H191" s="33"/>
      <c r="I191" s="33"/>
      <c r="J191" s="33"/>
      <c r="K191" s="35"/>
      <c r="L191" s="33"/>
    </row>
    <row r="192" spans="1:12" ht="15.75" customHeight="1" x14ac:dyDescent="0.25">
      <c r="A192" s="33"/>
      <c r="B192" s="33"/>
      <c r="C192" s="35"/>
      <c r="D192" s="35"/>
      <c r="E192" s="35"/>
      <c r="F192" s="49"/>
      <c r="G192" s="49"/>
      <c r="H192" s="33"/>
      <c r="I192" s="33"/>
      <c r="J192" s="33"/>
      <c r="K192" s="35"/>
      <c r="L192" s="33"/>
    </row>
    <row r="193" spans="1:12" ht="15.75" customHeight="1" x14ac:dyDescent="0.25">
      <c r="A193" s="33"/>
      <c r="B193" s="33"/>
      <c r="C193" s="35"/>
      <c r="D193" s="35"/>
      <c r="E193" s="35"/>
      <c r="F193" s="49"/>
      <c r="G193" s="49"/>
      <c r="H193" s="33"/>
      <c r="I193" s="33"/>
      <c r="J193" s="33"/>
      <c r="K193" s="35"/>
      <c r="L193" s="33"/>
    </row>
    <row r="194" spans="1:12" ht="15.75" customHeight="1" x14ac:dyDescent="0.25">
      <c r="A194" s="33"/>
      <c r="B194" s="33"/>
      <c r="C194" s="35"/>
      <c r="D194" s="35"/>
      <c r="E194" s="35"/>
      <c r="F194" s="49"/>
      <c r="G194" s="49"/>
      <c r="H194" s="33"/>
      <c r="I194" s="33"/>
      <c r="J194" s="33"/>
      <c r="K194" s="35"/>
      <c r="L194" s="33"/>
    </row>
    <row r="195" spans="1:12" ht="15.75" customHeight="1" x14ac:dyDescent="0.25">
      <c r="A195" s="33"/>
      <c r="B195" s="33"/>
      <c r="C195" s="35"/>
      <c r="D195" s="35"/>
      <c r="E195" s="35"/>
      <c r="F195" s="49"/>
      <c r="G195" s="49"/>
      <c r="H195" s="33"/>
      <c r="I195" s="33"/>
      <c r="J195" s="33"/>
      <c r="K195" s="35"/>
      <c r="L195" s="33"/>
    </row>
    <row r="196" spans="1:12" ht="15.75" customHeight="1" x14ac:dyDescent="0.25">
      <c r="A196" s="33"/>
      <c r="B196" s="33"/>
      <c r="C196" s="35"/>
      <c r="D196" s="35"/>
      <c r="E196" s="35"/>
      <c r="F196" s="49"/>
      <c r="G196" s="49"/>
      <c r="H196" s="33"/>
      <c r="I196" s="33"/>
      <c r="J196" s="33"/>
      <c r="K196" s="35"/>
      <c r="L196" s="33"/>
    </row>
    <row r="197" spans="1:12" ht="15.75" customHeight="1" x14ac:dyDescent="0.25">
      <c r="A197" s="33"/>
      <c r="B197" s="33"/>
      <c r="C197" s="35"/>
      <c r="D197" s="35"/>
      <c r="E197" s="35"/>
      <c r="F197" s="49"/>
      <c r="G197" s="49"/>
      <c r="H197" s="33"/>
      <c r="I197" s="33"/>
      <c r="J197" s="33"/>
      <c r="K197" s="35"/>
      <c r="L197" s="33"/>
    </row>
    <row r="198" spans="1:12" ht="15.75" customHeight="1" x14ac:dyDescent="0.25">
      <c r="A198" s="33"/>
      <c r="B198" s="33"/>
      <c r="C198" s="35"/>
      <c r="D198" s="35"/>
      <c r="E198" s="35"/>
      <c r="F198" s="49"/>
      <c r="G198" s="49"/>
      <c r="H198" s="33"/>
      <c r="I198" s="33"/>
      <c r="J198" s="33"/>
      <c r="K198" s="35"/>
      <c r="L198" s="33"/>
    </row>
    <row r="199" spans="1:12" ht="15.75" customHeight="1" x14ac:dyDescent="0.25">
      <c r="A199" s="33"/>
      <c r="B199" s="33"/>
      <c r="C199" s="35"/>
      <c r="D199" s="35"/>
      <c r="E199" s="35"/>
      <c r="F199" s="49"/>
      <c r="G199" s="49"/>
      <c r="H199" s="33"/>
      <c r="I199" s="33"/>
      <c r="J199" s="33"/>
      <c r="K199" s="35"/>
      <c r="L199" s="33"/>
    </row>
    <row r="200" spans="1:12" ht="15.75" customHeight="1" x14ac:dyDescent="0.25">
      <c r="A200" s="33"/>
      <c r="B200" s="33"/>
      <c r="C200" s="35"/>
      <c r="D200" s="35"/>
      <c r="E200" s="35"/>
      <c r="F200" s="49"/>
      <c r="G200" s="49"/>
      <c r="H200" s="33"/>
      <c r="I200" s="33"/>
      <c r="J200" s="33"/>
      <c r="K200" s="35"/>
      <c r="L200" s="33"/>
    </row>
    <row r="201" spans="1:12" ht="15.75" customHeight="1" x14ac:dyDescent="0.25">
      <c r="A201" s="33"/>
      <c r="B201" s="33"/>
      <c r="C201" s="35"/>
      <c r="D201" s="35"/>
      <c r="E201" s="35"/>
      <c r="F201" s="49"/>
      <c r="G201" s="49"/>
      <c r="H201" s="33"/>
      <c r="I201" s="33"/>
      <c r="J201" s="33"/>
      <c r="K201" s="35"/>
      <c r="L201" s="33"/>
    </row>
    <row r="202" spans="1:12" ht="15.75" customHeight="1" x14ac:dyDescent="0.25">
      <c r="A202" s="33"/>
      <c r="B202" s="33"/>
      <c r="C202" s="35"/>
      <c r="D202" s="35"/>
      <c r="E202" s="35"/>
      <c r="F202" s="49"/>
      <c r="G202" s="49"/>
      <c r="H202" s="33"/>
      <c r="I202" s="33"/>
      <c r="J202" s="33"/>
      <c r="K202" s="35"/>
      <c r="L202" s="33"/>
    </row>
    <row r="203" spans="1:12" ht="15.75" customHeight="1" x14ac:dyDescent="0.25">
      <c r="A203" s="33"/>
      <c r="B203" s="33"/>
      <c r="C203" s="35"/>
      <c r="D203" s="35"/>
      <c r="E203" s="35"/>
      <c r="F203" s="49"/>
      <c r="G203" s="49"/>
      <c r="H203" s="33"/>
      <c r="I203" s="33"/>
      <c r="J203" s="33"/>
      <c r="K203" s="35"/>
      <c r="L203" s="33"/>
    </row>
    <row r="204" spans="1:12" ht="15.75" customHeight="1" x14ac:dyDescent="0.25">
      <c r="A204" s="33"/>
      <c r="B204" s="33"/>
      <c r="C204" s="35"/>
      <c r="D204" s="35"/>
      <c r="E204" s="35"/>
      <c r="F204" s="49"/>
      <c r="G204" s="49"/>
      <c r="H204" s="33"/>
      <c r="I204" s="33"/>
      <c r="J204" s="33"/>
      <c r="K204" s="35"/>
      <c r="L204" s="33"/>
    </row>
    <row r="205" spans="1:12" ht="15.75" customHeight="1" x14ac:dyDescent="0.25">
      <c r="A205" s="33"/>
      <c r="B205" s="33"/>
      <c r="C205" s="35"/>
      <c r="D205" s="35"/>
      <c r="E205" s="35"/>
      <c r="F205" s="49"/>
      <c r="G205" s="49"/>
      <c r="H205" s="33"/>
      <c r="I205" s="33"/>
      <c r="J205" s="33"/>
      <c r="K205" s="35"/>
      <c r="L205" s="33"/>
    </row>
    <row r="206" spans="1:12" ht="15.75" customHeight="1" x14ac:dyDescent="0.25">
      <c r="A206" s="33"/>
      <c r="B206" s="33"/>
      <c r="C206" s="35"/>
      <c r="D206" s="35"/>
      <c r="E206" s="35"/>
      <c r="F206" s="49"/>
      <c r="G206" s="49"/>
      <c r="H206" s="33"/>
      <c r="I206" s="33"/>
      <c r="J206" s="33"/>
      <c r="K206" s="35"/>
      <c r="L206" s="33"/>
    </row>
    <row r="207" spans="1:12" ht="15.75" customHeight="1" x14ac:dyDescent="0.25">
      <c r="A207" s="33"/>
      <c r="B207" s="33"/>
      <c r="C207" s="35"/>
      <c r="D207" s="35"/>
      <c r="E207" s="35"/>
      <c r="F207" s="49"/>
      <c r="G207" s="49"/>
      <c r="H207" s="33"/>
      <c r="I207" s="33"/>
      <c r="J207" s="33"/>
      <c r="K207" s="35"/>
      <c r="L207" s="33"/>
    </row>
    <row r="208" spans="1:12" ht="15.75" customHeight="1" x14ac:dyDescent="0.25">
      <c r="A208" s="33"/>
      <c r="B208" s="33"/>
      <c r="C208" s="35"/>
      <c r="D208" s="35"/>
      <c r="E208" s="35"/>
      <c r="F208" s="49"/>
      <c r="G208" s="49"/>
      <c r="H208" s="33"/>
      <c r="I208" s="33"/>
      <c r="J208" s="33"/>
      <c r="K208" s="35"/>
      <c r="L208" s="33"/>
    </row>
    <row r="209" spans="1:12" ht="15.75" customHeight="1" x14ac:dyDescent="0.25">
      <c r="A209" s="33"/>
      <c r="B209" s="33"/>
      <c r="C209" s="35"/>
      <c r="D209" s="35"/>
      <c r="E209" s="35"/>
      <c r="F209" s="49"/>
      <c r="G209" s="49"/>
      <c r="H209" s="33"/>
      <c r="I209" s="33"/>
      <c r="J209" s="33"/>
      <c r="K209" s="35"/>
      <c r="L209" s="33"/>
    </row>
    <row r="210" spans="1:12" ht="15.75" customHeight="1" x14ac:dyDescent="0.25">
      <c r="A210" s="33"/>
      <c r="B210" s="33"/>
      <c r="C210" s="35"/>
      <c r="D210" s="35"/>
      <c r="E210" s="35"/>
      <c r="F210" s="49"/>
      <c r="G210" s="49"/>
      <c r="H210" s="33"/>
      <c r="I210" s="33"/>
      <c r="J210" s="33"/>
      <c r="K210" s="35"/>
      <c r="L210" s="33"/>
    </row>
    <row r="211" spans="1:12" ht="15.75" customHeight="1" x14ac:dyDescent="0.25">
      <c r="A211" s="33"/>
      <c r="B211" s="33"/>
      <c r="C211" s="35"/>
      <c r="D211" s="35"/>
      <c r="E211" s="35"/>
      <c r="F211" s="49"/>
      <c r="G211" s="49"/>
      <c r="H211" s="33"/>
      <c r="I211" s="33"/>
      <c r="J211" s="33"/>
      <c r="K211" s="35"/>
      <c r="L211" s="33"/>
    </row>
    <row r="212" spans="1:12" ht="15.75" customHeight="1" x14ac:dyDescent="0.25">
      <c r="A212" s="33"/>
      <c r="B212" s="33"/>
      <c r="C212" s="35"/>
      <c r="D212" s="35"/>
      <c r="E212" s="35"/>
      <c r="F212" s="49"/>
      <c r="G212" s="49"/>
      <c r="H212" s="33"/>
      <c r="I212" s="33"/>
      <c r="J212" s="33"/>
      <c r="K212" s="35"/>
      <c r="L212" s="33"/>
    </row>
    <row r="213" spans="1:12" ht="15.75" customHeight="1" x14ac:dyDescent="0.25">
      <c r="A213" s="33"/>
      <c r="B213" s="33"/>
      <c r="C213" s="35"/>
      <c r="D213" s="35"/>
      <c r="E213" s="35"/>
      <c r="F213" s="49"/>
      <c r="G213" s="49"/>
      <c r="H213" s="33"/>
      <c r="I213" s="33"/>
      <c r="J213" s="33"/>
      <c r="K213" s="35"/>
      <c r="L213" s="33"/>
    </row>
    <row r="214" spans="1:12" ht="15.75" customHeight="1" x14ac:dyDescent="0.25">
      <c r="A214" s="33"/>
      <c r="B214" s="33"/>
      <c r="C214" s="35"/>
      <c r="D214" s="35"/>
      <c r="E214" s="35"/>
      <c r="F214" s="49"/>
      <c r="G214" s="49"/>
      <c r="H214" s="33"/>
      <c r="I214" s="33"/>
      <c r="J214" s="33"/>
      <c r="K214" s="35"/>
      <c r="L214" s="33"/>
    </row>
    <row r="215" spans="1:12" ht="15.75" customHeight="1" x14ac:dyDescent="0.25">
      <c r="A215" s="33"/>
      <c r="B215" s="33"/>
      <c r="C215" s="35"/>
      <c r="D215" s="35"/>
      <c r="E215" s="35"/>
      <c r="F215" s="49"/>
      <c r="G215" s="49"/>
      <c r="H215" s="33"/>
      <c r="I215" s="33"/>
      <c r="J215" s="33"/>
      <c r="K215" s="35"/>
      <c r="L215" s="33"/>
    </row>
    <row r="216" spans="1:12" ht="15.75" customHeight="1" x14ac:dyDescent="0.25">
      <c r="A216" s="33"/>
      <c r="B216" s="33"/>
      <c r="C216" s="35"/>
      <c r="D216" s="35"/>
      <c r="E216" s="35"/>
      <c r="F216" s="49"/>
      <c r="G216" s="49"/>
      <c r="H216" s="33"/>
      <c r="I216" s="33"/>
      <c r="J216" s="33"/>
      <c r="K216" s="35"/>
      <c r="L216" s="33"/>
    </row>
    <row r="217" spans="1:12" ht="15.75" customHeight="1" x14ac:dyDescent="0.25">
      <c r="A217" s="33"/>
      <c r="B217" s="33"/>
      <c r="C217" s="35"/>
      <c r="D217" s="35"/>
      <c r="E217" s="35"/>
      <c r="F217" s="49"/>
      <c r="G217" s="49"/>
      <c r="H217" s="33"/>
      <c r="I217" s="33"/>
      <c r="J217" s="33"/>
      <c r="K217" s="35"/>
      <c r="L217" s="33"/>
    </row>
    <row r="218" spans="1:12" ht="15.75" customHeight="1" x14ac:dyDescent="0.25">
      <c r="A218" s="33"/>
      <c r="B218" s="33"/>
      <c r="C218" s="35"/>
      <c r="D218" s="35"/>
      <c r="E218" s="35"/>
      <c r="F218" s="49"/>
      <c r="G218" s="49"/>
      <c r="H218" s="33"/>
      <c r="I218" s="33"/>
      <c r="J218" s="33"/>
      <c r="K218" s="35"/>
      <c r="L218" s="33"/>
    </row>
    <row r="219" spans="1:12" ht="15.75" customHeight="1" x14ac:dyDescent="0.25">
      <c r="A219" s="33"/>
      <c r="B219" s="33"/>
      <c r="C219" s="35"/>
      <c r="D219" s="35"/>
      <c r="E219" s="35"/>
      <c r="F219" s="49"/>
      <c r="G219" s="49"/>
      <c r="H219" s="33"/>
      <c r="I219" s="33"/>
      <c r="J219" s="33"/>
      <c r="K219" s="35"/>
      <c r="L219" s="33"/>
    </row>
    <row r="220" spans="1:12" ht="15.75" customHeight="1" x14ac:dyDescent="0.25">
      <c r="A220" s="33"/>
      <c r="B220" s="33"/>
      <c r="C220" s="35"/>
      <c r="D220" s="35"/>
      <c r="E220" s="35"/>
      <c r="F220" s="49"/>
      <c r="G220" s="49"/>
      <c r="H220" s="33"/>
      <c r="I220" s="33"/>
      <c r="J220" s="33"/>
      <c r="K220" s="35"/>
      <c r="L220" s="33"/>
    </row>
  </sheetData>
  <mergeCells count="28">
    <mergeCell ref="A1:J1"/>
    <mergeCell ref="J2:J3"/>
    <mergeCell ref="H11:I11"/>
    <mergeCell ref="D11:E11"/>
    <mergeCell ref="F11:G11"/>
    <mergeCell ref="H13:I13"/>
    <mergeCell ref="B11:C11"/>
    <mergeCell ref="D12:E12"/>
    <mergeCell ref="F12:G12"/>
    <mergeCell ref="H12:I12"/>
    <mergeCell ref="B12:C12"/>
    <mergeCell ref="B14:C14"/>
    <mergeCell ref="D14:E14"/>
    <mergeCell ref="F14:G14"/>
    <mergeCell ref="H14:I14"/>
    <mergeCell ref="B13:C13"/>
    <mergeCell ref="D13:E13"/>
    <mergeCell ref="F13:G13"/>
    <mergeCell ref="D9:E9"/>
    <mergeCell ref="F9:G9"/>
    <mergeCell ref="B9:C9"/>
    <mergeCell ref="H9:I9"/>
    <mergeCell ref="K9:K10"/>
    <mergeCell ref="J9:J10"/>
    <mergeCell ref="H10:I10"/>
    <mergeCell ref="B10:C10"/>
    <mergeCell ref="F10:G10"/>
    <mergeCell ref="D10:E10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N100"/>
  <sheetViews>
    <sheetView workbookViewId="0">
      <pane ySplit="6" topLeftCell="A7" activePane="bottomLeft" state="frozen"/>
      <selection pane="bottomLeft" activeCell="B8" sqref="B8"/>
    </sheetView>
  </sheetViews>
  <sheetFormatPr defaultColWidth="14.44140625" defaultRowHeight="15" customHeight="1" x14ac:dyDescent="0.25"/>
  <cols>
    <col min="1" max="1" width="4.88671875" customWidth="1"/>
    <col min="2" max="2" width="36.88671875" customWidth="1"/>
    <col min="3" max="3" width="12.5546875" customWidth="1"/>
    <col min="4" max="6" width="4.44140625" customWidth="1"/>
    <col min="7" max="7" width="5.5546875" customWidth="1"/>
    <col min="8" max="12" width="4.44140625" customWidth="1"/>
    <col min="13" max="13" width="4.5546875" customWidth="1"/>
    <col min="14" max="14" width="5.6640625" customWidth="1"/>
    <col min="15" max="20" width="4.44140625" customWidth="1"/>
    <col min="21" max="21" width="5" customWidth="1"/>
    <col min="22" max="27" width="4.44140625" customWidth="1"/>
    <col min="28" max="28" width="5" customWidth="1"/>
    <col min="29" max="34" width="4.44140625" customWidth="1"/>
    <col min="35" max="35" width="11" customWidth="1"/>
    <col min="36" max="36" width="10.44140625" customWidth="1"/>
    <col min="37" max="37" width="12.5546875" customWidth="1"/>
    <col min="38" max="38" width="11.6640625" customWidth="1"/>
    <col min="39" max="39" width="12.5546875" customWidth="1"/>
    <col min="40" max="40" width="31.6640625" customWidth="1"/>
  </cols>
  <sheetData>
    <row r="1" spans="1:40" ht="27.75" customHeight="1" x14ac:dyDescent="0.25">
      <c r="A1" s="213" t="s">
        <v>70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214"/>
      <c r="AM1" s="50"/>
      <c r="AN1" s="51"/>
    </row>
    <row r="2" spans="1:40" ht="24.75" customHeight="1" x14ac:dyDescent="0.25">
      <c r="A2" s="209" t="s">
        <v>71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2"/>
      <c r="R2" s="52">
        <v>6</v>
      </c>
      <c r="S2" s="53"/>
      <c r="T2" s="53" t="s">
        <v>72</v>
      </c>
      <c r="U2" s="53"/>
      <c r="V2" s="53"/>
      <c r="W2" s="53"/>
      <c r="X2" s="53"/>
      <c r="Y2" s="53"/>
      <c r="Z2" s="54">
        <v>26</v>
      </c>
      <c r="AA2" s="205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2"/>
    </row>
    <row r="3" spans="1:40" ht="15.75" customHeight="1" x14ac:dyDescent="0.25">
      <c r="A3" s="210" t="s">
        <v>73</v>
      </c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2"/>
      <c r="R3" s="208">
        <v>2026</v>
      </c>
      <c r="S3" s="184"/>
      <c r="T3" s="184"/>
      <c r="U3" s="184"/>
      <c r="V3" s="184"/>
      <c r="W3" s="184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4"/>
      <c r="AK3" s="184"/>
      <c r="AL3" s="184"/>
      <c r="AM3" s="184"/>
      <c r="AN3" s="182"/>
    </row>
    <row r="4" spans="1:40" ht="33.75" customHeight="1" x14ac:dyDescent="0.25">
      <c r="A4" s="211" t="s">
        <v>1</v>
      </c>
      <c r="B4" s="211" t="s">
        <v>74</v>
      </c>
      <c r="C4" s="211" t="s">
        <v>75</v>
      </c>
      <c r="D4" s="206" t="s">
        <v>76</v>
      </c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  <c r="AA4" s="184"/>
      <c r="AB4" s="184"/>
      <c r="AC4" s="184"/>
      <c r="AD4" s="184"/>
      <c r="AE4" s="184"/>
      <c r="AF4" s="184"/>
      <c r="AG4" s="184"/>
      <c r="AH4" s="182"/>
      <c r="AI4" s="207" t="s">
        <v>77</v>
      </c>
      <c r="AJ4" s="184"/>
      <c r="AK4" s="184"/>
      <c r="AL4" s="184"/>
      <c r="AM4" s="184"/>
      <c r="AN4" s="182"/>
    </row>
    <row r="5" spans="1:40" ht="39" customHeight="1" x14ac:dyDescent="0.25">
      <c r="A5" s="212"/>
      <c r="B5" s="212"/>
      <c r="C5" s="212"/>
      <c r="D5" s="55">
        <f>DATE($R$3,$R$2,1)</f>
        <v>46174</v>
      </c>
      <c r="E5" s="55">
        <f t="shared" ref="E5:AH5" si="0">IFERROR(IF(D5+1&gt;EOMONTH(D5,0),"",D5+1),"")</f>
        <v>46175</v>
      </c>
      <c r="F5" s="55">
        <f t="shared" si="0"/>
        <v>46176</v>
      </c>
      <c r="G5" s="55">
        <f t="shared" si="0"/>
        <v>46177</v>
      </c>
      <c r="H5" s="55">
        <f t="shared" si="0"/>
        <v>46178</v>
      </c>
      <c r="I5" s="55">
        <f t="shared" si="0"/>
        <v>46179</v>
      </c>
      <c r="J5" s="55">
        <f t="shared" si="0"/>
        <v>46180</v>
      </c>
      <c r="K5" s="55">
        <f t="shared" si="0"/>
        <v>46181</v>
      </c>
      <c r="L5" s="55">
        <f t="shared" si="0"/>
        <v>46182</v>
      </c>
      <c r="M5" s="55">
        <f t="shared" si="0"/>
        <v>46183</v>
      </c>
      <c r="N5" s="55">
        <f t="shared" si="0"/>
        <v>46184</v>
      </c>
      <c r="O5" s="55">
        <f t="shared" si="0"/>
        <v>46185</v>
      </c>
      <c r="P5" s="55">
        <f t="shared" si="0"/>
        <v>46186</v>
      </c>
      <c r="Q5" s="55">
        <f t="shared" si="0"/>
        <v>46187</v>
      </c>
      <c r="R5" s="55">
        <f t="shared" si="0"/>
        <v>46188</v>
      </c>
      <c r="S5" s="55">
        <f t="shared" si="0"/>
        <v>46189</v>
      </c>
      <c r="T5" s="55">
        <f t="shared" si="0"/>
        <v>46190</v>
      </c>
      <c r="U5" s="55">
        <f t="shared" si="0"/>
        <v>46191</v>
      </c>
      <c r="V5" s="55">
        <f t="shared" si="0"/>
        <v>46192</v>
      </c>
      <c r="W5" s="55">
        <f t="shared" si="0"/>
        <v>46193</v>
      </c>
      <c r="X5" s="55">
        <f t="shared" si="0"/>
        <v>46194</v>
      </c>
      <c r="Y5" s="55">
        <f t="shared" si="0"/>
        <v>46195</v>
      </c>
      <c r="Z5" s="55">
        <f t="shared" si="0"/>
        <v>46196</v>
      </c>
      <c r="AA5" s="55">
        <f t="shared" si="0"/>
        <v>46197</v>
      </c>
      <c r="AB5" s="55">
        <f t="shared" si="0"/>
        <v>46198</v>
      </c>
      <c r="AC5" s="55">
        <f t="shared" si="0"/>
        <v>46199</v>
      </c>
      <c r="AD5" s="55">
        <f t="shared" si="0"/>
        <v>46200</v>
      </c>
      <c r="AE5" s="55">
        <f t="shared" si="0"/>
        <v>46201</v>
      </c>
      <c r="AF5" s="55">
        <f t="shared" si="0"/>
        <v>46202</v>
      </c>
      <c r="AG5" s="55">
        <f t="shared" si="0"/>
        <v>46203</v>
      </c>
      <c r="AH5" s="55" t="str">
        <f t="shared" si="0"/>
        <v/>
      </c>
      <c r="AI5" s="203" t="s">
        <v>78</v>
      </c>
      <c r="AJ5" s="203" t="s">
        <v>79</v>
      </c>
      <c r="AK5" s="203" t="s">
        <v>80</v>
      </c>
      <c r="AL5" s="203" t="s">
        <v>81</v>
      </c>
      <c r="AM5" s="204" t="s">
        <v>82</v>
      </c>
      <c r="AN5" s="203" t="s">
        <v>83</v>
      </c>
    </row>
    <row r="6" spans="1:40" ht="15.75" customHeight="1" x14ac:dyDescent="0.25">
      <c r="A6" s="195"/>
      <c r="B6" s="195"/>
      <c r="C6" s="195"/>
      <c r="D6" s="56" t="str">
        <f t="shared" ref="D6:AH6" si="1">TEXT(D5,"[$-42a]ddd")</f>
        <v>T2</v>
      </c>
      <c r="E6" s="56" t="str">
        <f t="shared" si="1"/>
        <v>T3</v>
      </c>
      <c r="F6" s="56" t="str">
        <f t="shared" si="1"/>
        <v>T4</v>
      </c>
      <c r="G6" s="56" t="str">
        <f t="shared" si="1"/>
        <v>T5</v>
      </c>
      <c r="H6" s="56" t="str">
        <f t="shared" si="1"/>
        <v>T6</v>
      </c>
      <c r="I6" s="56" t="str">
        <f t="shared" si="1"/>
        <v>T7</v>
      </c>
      <c r="J6" s="56" t="str">
        <f t="shared" si="1"/>
        <v>CN</v>
      </c>
      <c r="K6" s="56" t="str">
        <f t="shared" si="1"/>
        <v>T2</v>
      </c>
      <c r="L6" s="56" t="str">
        <f t="shared" si="1"/>
        <v>T3</v>
      </c>
      <c r="M6" s="56" t="str">
        <f t="shared" si="1"/>
        <v>T4</v>
      </c>
      <c r="N6" s="56" t="str">
        <f t="shared" si="1"/>
        <v>T5</v>
      </c>
      <c r="O6" s="56" t="str">
        <f t="shared" si="1"/>
        <v>T6</v>
      </c>
      <c r="P6" s="56" t="str">
        <f t="shared" si="1"/>
        <v>T7</v>
      </c>
      <c r="Q6" s="56" t="str">
        <f t="shared" si="1"/>
        <v>CN</v>
      </c>
      <c r="R6" s="56" t="str">
        <f t="shared" si="1"/>
        <v>T2</v>
      </c>
      <c r="S6" s="56" t="str">
        <f t="shared" si="1"/>
        <v>T3</v>
      </c>
      <c r="T6" s="56" t="str">
        <f t="shared" si="1"/>
        <v>T4</v>
      </c>
      <c r="U6" s="56" t="str">
        <f t="shared" si="1"/>
        <v>T5</v>
      </c>
      <c r="V6" s="56" t="str">
        <f t="shared" si="1"/>
        <v>T6</v>
      </c>
      <c r="W6" s="56" t="str">
        <f t="shared" si="1"/>
        <v>T7</v>
      </c>
      <c r="X6" s="56" t="str">
        <f t="shared" si="1"/>
        <v>CN</v>
      </c>
      <c r="Y6" s="56" t="str">
        <f t="shared" si="1"/>
        <v>T2</v>
      </c>
      <c r="Z6" s="56" t="str">
        <f t="shared" si="1"/>
        <v>T3</v>
      </c>
      <c r="AA6" s="56" t="str">
        <f t="shared" si="1"/>
        <v>T4</v>
      </c>
      <c r="AB6" s="56" t="str">
        <f t="shared" si="1"/>
        <v>T5</v>
      </c>
      <c r="AC6" s="56" t="str">
        <f t="shared" si="1"/>
        <v>T6</v>
      </c>
      <c r="AD6" s="56" t="str">
        <f t="shared" si="1"/>
        <v>T7</v>
      </c>
      <c r="AE6" s="56" t="str">
        <f t="shared" si="1"/>
        <v>CN</v>
      </c>
      <c r="AF6" s="56" t="str">
        <f t="shared" si="1"/>
        <v>T2</v>
      </c>
      <c r="AG6" s="56" t="str">
        <f t="shared" si="1"/>
        <v>T3</v>
      </c>
      <c r="AH6" s="56" t="str">
        <f t="shared" si="1"/>
        <v/>
      </c>
      <c r="AI6" s="195"/>
      <c r="AJ6" s="195"/>
      <c r="AK6" s="195"/>
      <c r="AL6" s="195"/>
      <c r="AM6" s="195"/>
      <c r="AN6" s="195"/>
    </row>
    <row r="7" spans="1:40" ht="30.75" customHeight="1" x14ac:dyDescent="0.25">
      <c r="A7" s="40">
        <v>1</v>
      </c>
      <c r="B7" s="57" t="s">
        <v>21</v>
      </c>
      <c r="C7" s="39" t="s">
        <v>22</v>
      </c>
      <c r="D7" s="40" t="s">
        <v>84</v>
      </c>
      <c r="E7" s="40" t="s">
        <v>84</v>
      </c>
      <c r="F7" s="40" t="s">
        <v>84</v>
      </c>
      <c r="G7" s="40" t="s">
        <v>84</v>
      </c>
      <c r="H7" s="40" t="s">
        <v>84</v>
      </c>
      <c r="I7" s="40" t="s">
        <v>84</v>
      </c>
      <c r="J7" s="40" t="s">
        <v>85</v>
      </c>
      <c r="K7" s="40" t="s">
        <v>84</v>
      </c>
      <c r="L7" s="40" t="s">
        <v>84</v>
      </c>
      <c r="M7" s="40" t="s">
        <v>84</v>
      </c>
      <c r="N7" s="40" t="s">
        <v>84</v>
      </c>
      <c r="O7" s="40" t="s">
        <v>84</v>
      </c>
      <c r="P7" s="40" t="s">
        <v>84</v>
      </c>
      <c r="Q7" s="40" t="s">
        <v>84</v>
      </c>
      <c r="R7" s="40" t="s">
        <v>84</v>
      </c>
      <c r="S7" s="40" t="s">
        <v>84</v>
      </c>
      <c r="T7" s="40" t="s">
        <v>84</v>
      </c>
      <c r="U7" s="40" t="s">
        <v>84</v>
      </c>
      <c r="V7" s="40" t="s">
        <v>84</v>
      </c>
      <c r="W7" s="40" t="s">
        <v>84</v>
      </c>
      <c r="X7" s="40" t="s">
        <v>85</v>
      </c>
      <c r="Y7" s="40" t="s">
        <v>84</v>
      </c>
      <c r="Z7" s="40" t="s">
        <v>84</v>
      </c>
      <c r="AA7" s="40" t="s">
        <v>84</v>
      </c>
      <c r="AB7" s="40" t="s">
        <v>84</v>
      </c>
      <c r="AC7" s="40" t="s">
        <v>85</v>
      </c>
      <c r="AD7" s="40" t="s">
        <v>85</v>
      </c>
      <c r="AE7" s="40" t="s">
        <v>85</v>
      </c>
      <c r="AF7" s="40" t="s">
        <v>84</v>
      </c>
      <c r="AG7" s="40" t="s">
        <v>84</v>
      </c>
      <c r="AH7" s="40"/>
      <c r="AI7" s="58">
        <f t="shared" ref="AI7:AI11" si="2">COUNTIF(D7:AH7,"X")</f>
        <v>25</v>
      </c>
      <c r="AJ7" s="58">
        <f t="shared" ref="AJ7:AJ11" si="3">COUNTIF(D7:AH7,"N")</f>
        <v>0</v>
      </c>
      <c r="AK7" s="58">
        <f t="shared" ref="AK7:AK11" si="4">COUNTIF(D7:AH7,"L")</f>
        <v>0</v>
      </c>
      <c r="AL7" s="58">
        <f t="shared" ref="AL7:AL11" si="5">COUNTIF(D7:AH7,"K")</f>
        <v>5</v>
      </c>
      <c r="AM7" s="59">
        <f t="shared" ref="AM7:AM11" si="6">AI7+(AJ7/2)+AK7</f>
        <v>25</v>
      </c>
      <c r="AN7" s="60"/>
    </row>
    <row r="8" spans="1:40" ht="28.5" customHeight="1" x14ac:dyDescent="0.25">
      <c r="A8" s="40">
        <v>2</v>
      </c>
      <c r="B8" s="57" t="s">
        <v>23</v>
      </c>
      <c r="C8" s="39" t="s">
        <v>24</v>
      </c>
      <c r="D8" s="40" t="s">
        <v>84</v>
      </c>
      <c r="E8" s="40" t="s">
        <v>84</v>
      </c>
      <c r="F8" s="40" t="s">
        <v>84</v>
      </c>
      <c r="G8" s="40" t="s">
        <v>84</v>
      </c>
      <c r="H8" s="40" t="s">
        <v>84</v>
      </c>
      <c r="I8" s="40" t="s">
        <v>84</v>
      </c>
      <c r="J8" s="40" t="s">
        <v>85</v>
      </c>
      <c r="K8" s="40" t="s">
        <v>84</v>
      </c>
      <c r="L8" s="40" t="s">
        <v>84</v>
      </c>
      <c r="M8" s="40" t="s">
        <v>84</v>
      </c>
      <c r="N8" s="40" t="s">
        <v>84</v>
      </c>
      <c r="O8" s="40" t="s">
        <v>84</v>
      </c>
      <c r="P8" s="40" t="s">
        <v>84</v>
      </c>
      <c r="Q8" s="40" t="s">
        <v>85</v>
      </c>
      <c r="R8" s="40" t="s">
        <v>84</v>
      </c>
      <c r="S8" s="40" t="s">
        <v>84</v>
      </c>
      <c r="T8" s="40" t="s">
        <v>84</v>
      </c>
      <c r="U8" s="40" t="s">
        <v>84</v>
      </c>
      <c r="V8" s="40" t="s">
        <v>84</v>
      </c>
      <c r="W8" s="40" t="s">
        <v>84</v>
      </c>
      <c r="X8" s="40" t="s">
        <v>85</v>
      </c>
      <c r="Y8" s="40" t="s">
        <v>84</v>
      </c>
      <c r="Z8" s="40" t="s">
        <v>84</v>
      </c>
      <c r="AA8" s="40" t="s">
        <v>84</v>
      </c>
      <c r="AB8" s="40" t="s">
        <v>84</v>
      </c>
      <c r="AC8" s="40" t="s">
        <v>84</v>
      </c>
      <c r="AD8" s="40" t="s">
        <v>84</v>
      </c>
      <c r="AE8" s="40" t="s">
        <v>85</v>
      </c>
      <c r="AF8" s="40" t="s">
        <v>84</v>
      </c>
      <c r="AG8" s="40" t="s">
        <v>84</v>
      </c>
      <c r="AH8" s="40"/>
      <c r="AI8" s="58">
        <f t="shared" si="2"/>
        <v>26</v>
      </c>
      <c r="AJ8" s="58">
        <f t="shared" si="3"/>
        <v>0</v>
      </c>
      <c r="AK8" s="58">
        <f t="shared" si="4"/>
        <v>0</v>
      </c>
      <c r="AL8" s="58">
        <f t="shared" si="5"/>
        <v>4</v>
      </c>
      <c r="AM8" s="59">
        <f t="shared" si="6"/>
        <v>26</v>
      </c>
      <c r="AN8" s="60" t="s">
        <v>86</v>
      </c>
    </row>
    <row r="9" spans="1:40" ht="27.75" customHeight="1" x14ac:dyDescent="0.25">
      <c r="A9" s="40">
        <v>3</v>
      </c>
      <c r="B9" s="57" t="s">
        <v>25</v>
      </c>
      <c r="C9" s="39" t="s">
        <v>26</v>
      </c>
      <c r="D9" s="40" t="s">
        <v>84</v>
      </c>
      <c r="E9" s="40" t="s">
        <v>84</v>
      </c>
      <c r="F9" s="40" t="s">
        <v>84</v>
      </c>
      <c r="G9" s="40" t="s">
        <v>84</v>
      </c>
      <c r="H9" s="40" t="s">
        <v>84</v>
      </c>
      <c r="I9" s="40" t="s">
        <v>84</v>
      </c>
      <c r="J9" s="40" t="s">
        <v>85</v>
      </c>
      <c r="K9" s="40" t="s">
        <v>84</v>
      </c>
      <c r="L9" s="40" t="s">
        <v>84</v>
      </c>
      <c r="M9" s="40" t="s">
        <v>84</v>
      </c>
      <c r="N9" s="40" t="s">
        <v>84</v>
      </c>
      <c r="O9" s="40" t="s">
        <v>84</v>
      </c>
      <c r="P9" s="40" t="s">
        <v>84</v>
      </c>
      <c r="Q9" s="40" t="s">
        <v>85</v>
      </c>
      <c r="R9" s="40" t="s">
        <v>84</v>
      </c>
      <c r="S9" s="40" t="s">
        <v>84</v>
      </c>
      <c r="T9" s="40" t="s">
        <v>84</v>
      </c>
      <c r="U9" s="40" t="s">
        <v>84</v>
      </c>
      <c r="V9" s="40" t="s">
        <v>84</v>
      </c>
      <c r="W9" s="40" t="s">
        <v>84</v>
      </c>
      <c r="X9" s="40" t="s">
        <v>85</v>
      </c>
      <c r="Y9" s="40" t="s">
        <v>84</v>
      </c>
      <c r="Z9" s="40" t="s">
        <v>84</v>
      </c>
      <c r="AA9" s="40" t="s">
        <v>84</v>
      </c>
      <c r="AB9" s="40" t="s">
        <v>85</v>
      </c>
      <c r="AC9" s="40" t="s">
        <v>85</v>
      </c>
      <c r="AD9" s="40" t="s">
        <v>85</v>
      </c>
      <c r="AE9" s="40" t="s">
        <v>85</v>
      </c>
      <c r="AF9" s="40" t="s">
        <v>85</v>
      </c>
      <c r="AG9" s="40" t="s">
        <v>85</v>
      </c>
      <c r="AH9" s="40"/>
      <c r="AI9" s="58">
        <f t="shared" si="2"/>
        <v>21</v>
      </c>
      <c r="AJ9" s="58">
        <f t="shared" si="3"/>
        <v>0</v>
      </c>
      <c r="AK9" s="58">
        <f t="shared" si="4"/>
        <v>0</v>
      </c>
      <c r="AL9" s="58">
        <f t="shared" si="5"/>
        <v>9</v>
      </c>
      <c r="AM9" s="59">
        <f t="shared" si="6"/>
        <v>21</v>
      </c>
      <c r="AN9" s="60"/>
    </row>
    <row r="10" spans="1:40" ht="30" customHeight="1" x14ac:dyDescent="0.25">
      <c r="A10" s="40">
        <v>4</v>
      </c>
      <c r="B10" s="57" t="s">
        <v>27</v>
      </c>
      <c r="C10" s="39" t="s">
        <v>26</v>
      </c>
      <c r="D10" s="40" t="s">
        <v>84</v>
      </c>
      <c r="E10" s="40" t="s">
        <v>84</v>
      </c>
      <c r="F10" s="40" t="s">
        <v>84</v>
      </c>
      <c r="G10" s="40" t="s">
        <v>84</v>
      </c>
      <c r="H10" s="40" t="s">
        <v>84</v>
      </c>
      <c r="I10" s="40" t="s">
        <v>84</v>
      </c>
      <c r="J10" s="40" t="s">
        <v>85</v>
      </c>
      <c r="K10" s="40" t="s">
        <v>84</v>
      </c>
      <c r="L10" s="40" t="s">
        <v>84</v>
      </c>
      <c r="M10" s="40" t="s">
        <v>84</v>
      </c>
      <c r="N10" s="40" t="s">
        <v>84</v>
      </c>
      <c r="O10" s="40" t="s">
        <v>84</v>
      </c>
      <c r="P10" s="40" t="s">
        <v>84</v>
      </c>
      <c r="Q10" s="40" t="s">
        <v>85</v>
      </c>
      <c r="R10" s="40" t="s">
        <v>84</v>
      </c>
      <c r="S10" s="40" t="s">
        <v>84</v>
      </c>
      <c r="T10" s="40" t="s">
        <v>84</v>
      </c>
      <c r="U10" s="40" t="s">
        <v>84</v>
      </c>
      <c r="V10" s="40" t="s">
        <v>84</v>
      </c>
      <c r="W10" s="40" t="s">
        <v>84</v>
      </c>
      <c r="X10" s="40" t="s">
        <v>85</v>
      </c>
      <c r="Y10" s="40" t="s">
        <v>84</v>
      </c>
      <c r="Z10" s="40" t="s">
        <v>84</v>
      </c>
      <c r="AA10" s="40" t="s">
        <v>84</v>
      </c>
      <c r="AB10" s="40" t="s">
        <v>84</v>
      </c>
      <c r="AC10" s="40" t="s">
        <v>84</v>
      </c>
      <c r="AD10" s="40" t="s">
        <v>84</v>
      </c>
      <c r="AE10" s="40" t="s">
        <v>85</v>
      </c>
      <c r="AF10" s="40" t="s">
        <v>85</v>
      </c>
      <c r="AG10" s="40" t="s">
        <v>84</v>
      </c>
      <c r="AH10" s="40"/>
      <c r="AI10" s="58">
        <f t="shared" si="2"/>
        <v>25</v>
      </c>
      <c r="AJ10" s="58">
        <f t="shared" si="3"/>
        <v>0</v>
      </c>
      <c r="AK10" s="58">
        <f t="shared" si="4"/>
        <v>0</v>
      </c>
      <c r="AL10" s="58">
        <f t="shared" si="5"/>
        <v>5</v>
      </c>
      <c r="AM10" s="59">
        <f t="shared" si="6"/>
        <v>25</v>
      </c>
      <c r="AN10" s="61"/>
    </row>
    <row r="11" spans="1:40" ht="25.5" customHeight="1" x14ac:dyDescent="0.25">
      <c r="A11" s="40">
        <v>5</v>
      </c>
      <c r="B11" s="57" t="s">
        <v>28</v>
      </c>
      <c r="C11" s="62" t="s">
        <v>26</v>
      </c>
      <c r="D11" s="40" t="s">
        <v>84</v>
      </c>
      <c r="E11" s="40" t="s">
        <v>84</v>
      </c>
      <c r="F11" s="40" t="s">
        <v>84</v>
      </c>
      <c r="G11" s="40" t="s">
        <v>84</v>
      </c>
      <c r="H11" s="40" t="s">
        <v>84</v>
      </c>
      <c r="I11" s="40" t="s">
        <v>84</v>
      </c>
      <c r="J11" s="40" t="s">
        <v>85</v>
      </c>
      <c r="K11" s="40" t="s">
        <v>84</v>
      </c>
      <c r="L11" s="40" t="s">
        <v>84</v>
      </c>
      <c r="M11" s="40" t="s">
        <v>84</v>
      </c>
      <c r="N11" s="40" t="s">
        <v>84</v>
      </c>
      <c r="O11" s="40" t="s">
        <v>84</v>
      </c>
      <c r="P11" s="40" t="s">
        <v>84</v>
      </c>
      <c r="Q11" s="40" t="s">
        <v>85</v>
      </c>
      <c r="R11" s="40" t="s">
        <v>84</v>
      </c>
      <c r="S11" s="40" t="s">
        <v>84</v>
      </c>
      <c r="T11" s="40" t="s">
        <v>84</v>
      </c>
      <c r="U11" s="40" t="s">
        <v>84</v>
      </c>
      <c r="V11" s="40" t="s">
        <v>84</v>
      </c>
      <c r="W11" s="40" t="s">
        <v>84</v>
      </c>
      <c r="X11" s="40" t="s">
        <v>85</v>
      </c>
      <c r="Y11" s="40" t="s">
        <v>84</v>
      </c>
      <c r="Z11" s="40" t="s">
        <v>84</v>
      </c>
      <c r="AA11" s="40" t="s">
        <v>84</v>
      </c>
      <c r="AB11" s="40" t="s">
        <v>84</v>
      </c>
      <c r="AC11" s="40" t="s">
        <v>84</v>
      </c>
      <c r="AD11" s="40" t="s">
        <v>84</v>
      </c>
      <c r="AE11" s="40" t="s">
        <v>85</v>
      </c>
      <c r="AF11" s="40" t="s">
        <v>84</v>
      </c>
      <c r="AG11" s="40" t="s">
        <v>84</v>
      </c>
      <c r="AH11" s="40"/>
      <c r="AI11" s="58">
        <f t="shared" si="2"/>
        <v>26</v>
      </c>
      <c r="AJ11" s="58">
        <f t="shared" si="3"/>
        <v>0</v>
      </c>
      <c r="AK11" s="58">
        <f t="shared" si="4"/>
        <v>0</v>
      </c>
      <c r="AL11" s="58">
        <f t="shared" si="5"/>
        <v>4</v>
      </c>
      <c r="AM11" s="59">
        <f t="shared" si="6"/>
        <v>26</v>
      </c>
      <c r="AN11" s="41"/>
    </row>
    <row r="12" spans="1:40" ht="15.75" customHeight="1" x14ac:dyDescent="0.3">
      <c r="A12" s="1"/>
      <c r="B12" s="63" t="s">
        <v>87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2"/>
      <c r="AJ12" s="22"/>
      <c r="AK12" s="22"/>
      <c r="AL12" s="22"/>
      <c r="AM12" s="22"/>
      <c r="AN12" s="22"/>
    </row>
    <row r="13" spans="1:40" ht="18.75" customHeight="1" x14ac:dyDescent="0.3">
      <c r="A13" s="1"/>
      <c r="B13" s="18" t="s">
        <v>88</v>
      </c>
      <c r="C13" s="18" t="s">
        <v>84</v>
      </c>
      <c r="D13" s="1"/>
      <c r="E13" s="1"/>
      <c r="F13" s="1"/>
      <c r="G13" s="1"/>
      <c r="H13" s="1"/>
      <c r="I13" s="221" t="s">
        <v>89</v>
      </c>
      <c r="J13" s="222"/>
      <c r="K13" s="222"/>
      <c r="L13" s="222"/>
      <c r="M13" s="222"/>
      <c r="N13" s="222"/>
      <c r="O13" s="222"/>
      <c r="P13" s="222"/>
      <c r="Q13" s="223"/>
      <c r="R13" s="1"/>
      <c r="S13" s="1"/>
      <c r="T13" s="1"/>
      <c r="U13" s="1"/>
      <c r="V13" s="1"/>
      <c r="W13" s="1"/>
      <c r="X13" s="1"/>
      <c r="Y13" s="1"/>
      <c r="Z13" s="22"/>
      <c r="AA13" s="22"/>
      <c r="AB13" s="22"/>
      <c r="AC13" s="22"/>
      <c r="AD13" s="22"/>
      <c r="AE13" s="22"/>
      <c r="AF13" s="1"/>
      <c r="AG13" s="1"/>
      <c r="AH13" s="1"/>
      <c r="AI13" s="1"/>
      <c r="AJ13" s="1"/>
      <c r="AK13" s="1"/>
      <c r="AL13" s="1"/>
      <c r="AM13" s="1"/>
      <c r="AN13" s="1"/>
    </row>
    <row r="14" spans="1:40" ht="34.5" customHeight="1" x14ac:dyDescent="0.3">
      <c r="A14" s="1"/>
      <c r="B14" s="18" t="s">
        <v>90</v>
      </c>
      <c r="C14" s="18" t="s">
        <v>91</v>
      </c>
      <c r="D14" s="1"/>
      <c r="E14" s="1"/>
      <c r="F14" s="1"/>
      <c r="G14" s="1"/>
      <c r="H14" s="1"/>
      <c r="I14" s="218"/>
      <c r="J14" s="184"/>
      <c r="K14" s="184"/>
      <c r="L14" s="184"/>
      <c r="M14" s="184"/>
      <c r="N14" s="184"/>
      <c r="O14" s="184"/>
      <c r="P14" s="184"/>
      <c r="Q14" s="216"/>
      <c r="R14" s="1"/>
      <c r="S14" s="1"/>
      <c r="T14" s="1"/>
      <c r="U14" s="1"/>
      <c r="V14" s="1"/>
      <c r="W14" s="1"/>
      <c r="X14" s="1"/>
      <c r="Y14" s="1"/>
      <c r="Z14" s="22"/>
      <c r="AA14" s="22"/>
      <c r="AB14" s="22"/>
      <c r="AC14" s="22"/>
      <c r="AD14" s="22"/>
      <c r="AE14" s="22"/>
      <c r="AF14" s="1"/>
      <c r="AG14" s="1"/>
      <c r="AH14" s="1"/>
      <c r="AI14" s="1"/>
      <c r="AJ14" s="1"/>
      <c r="AK14" s="1"/>
      <c r="AL14" s="1"/>
      <c r="AM14" s="1"/>
      <c r="AN14" s="1"/>
    </row>
    <row r="15" spans="1:40" ht="16.5" customHeight="1" x14ac:dyDescent="0.3">
      <c r="A15" s="1"/>
      <c r="B15" s="18" t="s">
        <v>80</v>
      </c>
      <c r="C15" s="18" t="s">
        <v>92</v>
      </c>
      <c r="D15" s="1"/>
      <c r="E15" s="1"/>
      <c r="F15" s="1"/>
      <c r="G15" s="1"/>
      <c r="H15" s="1"/>
      <c r="I15" s="220"/>
      <c r="J15" s="184"/>
      <c r="K15" s="184"/>
      <c r="L15" s="184"/>
      <c r="M15" s="184"/>
      <c r="N15" s="184"/>
      <c r="O15" s="184"/>
      <c r="P15" s="184"/>
      <c r="Q15" s="216"/>
      <c r="R15" s="1"/>
      <c r="S15" s="1"/>
      <c r="T15" s="1"/>
      <c r="U15" s="1"/>
      <c r="V15" s="1"/>
      <c r="W15" s="1"/>
      <c r="X15" s="1"/>
      <c r="Y15" s="1"/>
      <c r="Z15" s="22"/>
      <c r="AA15" s="22"/>
      <c r="AB15" s="22"/>
      <c r="AC15" s="22"/>
      <c r="AD15" s="22"/>
      <c r="AE15" s="22"/>
      <c r="AF15" s="1"/>
      <c r="AG15" s="1"/>
      <c r="AH15" s="1"/>
      <c r="AI15" s="1"/>
      <c r="AJ15" s="1"/>
      <c r="AK15" s="1"/>
      <c r="AL15" s="1"/>
      <c r="AM15" s="1"/>
      <c r="AN15" s="1"/>
    </row>
    <row r="16" spans="1:40" ht="34.5" customHeight="1" x14ac:dyDescent="0.3">
      <c r="A16" s="1"/>
      <c r="B16" s="18" t="s">
        <v>81</v>
      </c>
      <c r="C16" s="18" t="s">
        <v>85</v>
      </c>
      <c r="D16" s="1"/>
      <c r="E16" s="1"/>
      <c r="F16" s="1"/>
      <c r="G16" s="1"/>
      <c r="H16" s="1"/>
      <c r="I16" s="218"/>
      <c r="J16" s="184"/>
      <c r="K16" s="184"/>
      <c r="L16" s="184"/>
      <c r="M16" s="184"/>
      <c r="N16" s="184"/>
      <c r="O16" s="184"/>
      <c r="P16" s="184"/>
      <c r="Q16" s="216"/>
      <c r="R16" s="1"/>
      <c r="S16" s="1"/>
      <c r="T16" s="1"/>
      <c r="U16" s="1"/>
      <c r="V16" s="1"/>
      <c r="W16" s="1"/>
      <c r="X16" s="1"/>
      <c r="Y16" s="1"/>
      <c r="Z16" s="22"/>
      <c r="AA16" s="22"/>
      <c r="AB16" s="22"/>
      <c r="AC16" s="22"/>
      <c r="AD16" s="22"/>
      <c r="AE16" s="22"/>
      <c r="AF16" s="1"/>
      <c r="AG16" s="1"/>
      <c r="AH16" s="1"/>
      <c r="AI16" s="1"/>
      <c r="AJ16" s="1"/>
      <c r="AK16" s="1"/>
      <c r="AL16" s="1"/>
      <c r="AM16" s="1"/>
      <c r="AN16" s="1"/>
    </row>
    <row r="17" spans="1:40" ht="15" customHeight="1" x14ac:dyDescent="0.3">
      <c r="A17" s="1"/>
      <c r="B17" s="18"/>
      <c r="C17" s="18"/>
      <c r="D17" s="1"/>
      <c r="E17" s="1"/>
      <c r="F17" s="1"/>
      <c r="G17" s="1"/>
      <c r="H17" s="1"/>
      <c r="I17" s="220"/>
      <c r="J17" s="184"/>
      <c r="K17" s="184"/>
      <c r="L17" s="184"/>
      <c r="M17" s="184"/>
      <c r="N17" s="184"/>
      <c r="O17" s="184"/>
      <c r="P17" s="184"/>
      <c r="Q17" s="216"/>
      <c r="R17" s="1"/>
      <c r="S17" s="1"/>
      <c r="T17" s="1"/>
      <c r="U17" s="1"/>
      <c r="V17" s="22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ht="15.75" customHeight="1" x14ac:dyDescent="0.3">
      <c r="A18" s="1"/>
      <c r="B18" s="18"/>
      <c r="C18" s="18"/>
      <c r="D18" s="1"/>
      <c r="E18" s="1"/>
      <c r="F18" s="1"/>
      <c r="G18" s="1"/>
      <c r="H18" s="1"/>
      <c r="I18" s="219" t="s">
        <v>93</v>
      </c>
      <c r="J18" s="184"/>
      <c r="K18" s="184"/>
      <c r="L18" s="184"/>
      <c r="M18" s="184"/>
      <c r="N18" s="184"/>
      <c r="O18" s="184"/>
      <c r="P18" s="184"/>
      <c r="Q18" s="216"/>
      <c r="R18" s="1"/>
      <c r="S18" s="1"/>
      <c r="T18" s="1"/>
      <c r="U18" s="1"/>
      <c r="V18" s="1"/>
      <c r="W18" s="1"/>
      <c r="X18" s="1"/>
      <c r="Y18" s="1"/>
      <c r="Z18" s="22"/>
      <c r="AA18" s="22"/>
      <c r="AB18" s="22"/>
      <c r="AC18" s="22"/>
      <c r="AD18" s="22"/>
      <c r="AE18" s="22"/>
      <c r="AF18" s="1"/>
      <c r="AG18" s="1"/>
      <c r="AH18" s="1"/>
      <c r="AI18" s="1"/>
      <c r="AJ18" s="1"/>
      <c r="AK18" s="1"/>
      <c r="AL18" s="1"/>
      <c r="AM18" s="1"/>
      <c r="AN18" s="1"/>
    </row>
    <row r="19" spans="1:40" ht="15.75" customHeight="1" x14ac:dyDescent="0.3">
      <c r="A19" s="1"/>
      <c r="B19" s="1"/>
      <c r="C19" s="1"/>
      <c r="D19" s="1"/>
      <c r="E19" s="1"/>
      <c r="F19" s="1"/>
      <c r="G19" s="1"/>
      <c r="H19" s="1"/>
      <c r="I19" s="217" t="s">
        <v>31</v>
      </c>
      <c r="J19" s="184"/>
      <c r="K19" s="184"/>
      <c r="L19" s="184"/>
      <c r="M19" s="182"/>
      <c r="N19" s="64"/>
      <c r="O19" s="215"/>
      <c r="P19" s="184"/>
      <c r="Q19" s="216"/>
      <c r="R19" s="1"/>
      <c r="S19" s="22"/>
      <c r="T19" s="22"/>
      <c r="U19" s="22"/>
      <c r="V19" s="22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ht="15.75" customHeight="1" x14ac:dyDescent="0.3">
      <c r="A20" s="1"/>
      <c r="B20" s="1"/>
      <c r="C20" s="1"/>
      <c r="D20" s="1"/>
      <c r="E20" s="1"/>
      <c r="F20" s="1"/>
      <c r="G20" s="1"/>
      <c r="H20" s="1"/>
      <c r="I20" s="217" t="s">
        <v>36</v>
      </c>
      <c r="J20" s="184"/>
      <c r="K20" s="184"/>
      <c r="L20" s="184"/>
      <c r="M20" s="182"/>
      <c r="N20" s="64"/>
      <c r="O20" s="215">
        <f>((9000000/Z2)/8)*N20*1.5</f>
        <v>0</v>
      </c>
      <c r="P20" s="184"/>
      <c r="Q20" s="216"/>
      <c r="R20" s="1"/>
      <c r="S20" s="22"/>
      <c r="T20" s="22"/>
      <c r="U20" s="22"/>
      <c r="V20" s="22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ht="15.75" customHeight="1" x14ac:dyDescent="0.3">
      <c r="A21" s="1"/>
      <c r="B21" s="1"/>
      <c r="C21" s="1"/>
      <c r="D21" s="1"/>
      <c r="E21" s="1"/>
      <c r="F21" s="1"/>
      <c r="G21" s="1"/>
      <c r="H21" s="1"/>
      <c r="I21" s="217" t="s">
        <v>39</v>
      </c>
      <c r="J21" s="184"/>
      <c r="K21" s="184"/>
      <c r="L21" s="184"/>
      <c r="M21" s="182"/>
      <c r="N21" s="64"/>
      <c r="O21" s="215">
        <f>((6500000/26)/8)*N21*1.5</f>
        <v>0</v>
      </c>
      <c r="P21" s="184"/>
      <c r="Q21" s="216"/>
      <c r="R21" s="1"/>
      <c r="S21" s="22"/>
      <c r="T21" s="22"/>
      <c r="U21" s="22"/>
      <c r="V21" s="22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ht="33" customHeight="1" x14ac:dyDescent="0.3">
      <c r="A22" s="1"/>
      <c r="B22" s="1"/>
      <c r="C22" s="1"/>
      <c r="D22" s="1"/>
      <c r="E22" s="1"/>
      <c r="F22" s="1"/>
      <c r="G22" s="1"/>
      <c r="H22" s="1"/>
      <c r="I22" s="229" t="s">
        <v>46</v>
      </c>
      <c r="J22" s="184"/>
      <c r="K22" s="184"/>
      <c r="L22" s="184"/>
      <c r="M22" s="182"/>
      <c r="N22" s="64"/>
      <c r="O22" s="215">
        <f>((7000000/26)/8)*N22*1.5</f>
        <v>0</v>
      </c>
      <c r="P22" s="184"/>
      <c r="Q22" s="216"/>
      <c r="R22" s="1"/>
      <c r="S22" s="22"/>
      <c r="T22" s="22"/>
      <c r="U22" s="22"/>
      <c r="V22" s="22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ht="20.25" customHeight="1" x14ac:dyDescent="0.3">
      <c r="A23" s="1"/>
      <c r="B23" s="1"/>
      <c r="C23" s="1"/>
      <c r="D23" s="1"/>
      <c r="E23" s="1"/>
      <c r="F23" s="1"/>
      <c r="G23" s="1"/>
      <c r="H23" s="1"/>
      <c r="I23" s="224" t="s">
        <v>43</v>
      </c>
      <c r="J23" s="225"/>
      <c r="K23" s="225"/>
      <c r="L23" s="225"/>
      <c r="M23" s="226"/>
      <c r="N23" s="65"/>
      <c r="O23" s="227"/>
      <c r="P23" s="225"/>
      <c r="Q23" s="228"/>
      <c r="R23" s="1"/>
      <c r="S23" s="22"/>
      <c r="T23" s="22"/>
      <c r="U23" s="22"/>
      <c r="V23" s="22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22"/>
      <c r="AA24" s="22"/>
      <c r="AB24" s="22"/>
      <c r="AC24" s="22"/>
      <c r="AD24" s="22"/>
      <c r="AE24" s="22"/>
      <c r="AF24" s="1"/>
      <c r="AG24" s="1"/>
      <c r="AH24" s="1"/>
      <c r="AI24" s="1"/>
      <c r="AJ24" s="1"/>
      <c r="AK24" s="1"/>
      <c r="AL24" s="1"/>
      <c r="AM24" s="1"/>
      <c r="AN24" s="1"/>
    </row>
    <row r="25" spans="1:40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22"/>
      <c r="AA25" s="22"/>
      <c r="AB25" s="22"/>
      <c r="AC25" s="22"/>
      <c r="AD25" s="22"/>
      <c r="AE25" s="22"/>
      <c r="AF25" s="1"/>
      <c r="AG25" s="1"/>
      <c r="AH25" s="1"/>
      <c r="AI25" s="1"/>
      <c r="AJ25" s="1"/>
      <c r="AK25" s="1"/>
      <c r="AL25" s="1"/>
      <c r="AM25" s="1"/>
      <c r="AN25" s="1"/>
    </row>
    <row r="26" spans="1:40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22"/>
      <c r="AA26" s="22"/>
      <c r="AB26" s="22"/>
      <c r="AC26" s="22"/>
      <c r="AD26" s="22"/>
      <c r="AE26" s="22"/>
      <c r="AF26" s="1"/>
      <c r="AG26" s="1"/>
      <c r="AH26" s="1"/>
      <c r="AI26" s="1"/>
      <c r="AJ26" s="1"/>
      <c r="AK26" s="1"/>
      <c r="AL26" s="1"/>
      <c r="AM26" s="1"/>
      <c r="AN26" s="1"/>
    </row>
    <row r="27" spans="1:40" ht="16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22"/>
      <c r="AA27" s="22"/>
      <c r="AB27" s="22"/>
      <c r="AC27" s="22"/>
      <c r="AD27" s="22"/>
      <c r="AE27" s="22"/>
      <c r="AF27" s="1"/>
      <c r="AG27" s="1"/>
      <c r="AH27" s="1"/>
      <c r="AI27" s="1"/>
      <c r="AJ27" s="1"/>
      <c r="AK27" s="1"/>
      <c r="AL27" s="1"/>
      <c r="AM27" s="1"/>
      <c r="AN27" s="1"/>
    </row>
    <row r="28" spans="1:40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22"/>
      <c r="AJ28" s="22"/>
      <c r="AK28" s="22"/>
      <c r="AL28" s="22"/>
      <c r="AM28" s="22"/>
      <c r="AN28" s="22"/>
    </row>
    <row r="29" spans="1:40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22"/>
      <c r="AJ29" s="22"/>
      <c r="AK29" s="22"/>
      <c r="AL29" s="22"/>
      <c r="AM29" s="22"/>
      <c r="AN29" s="22"/>
    </row>
    <row r="30" spans="1:40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22"/>
      <c r="AJ30" s="22"/>
      <c r="AK30" s="22"/>
      <c r="AL30" s="22"/>
      <c r="AM30" s="22"/>
      <c r="AN30" s="22"/>
    </row>
    <row r="31" spans="1:40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22"/>
      <c r="AJ31" s="22"/>
      <c r="AK31" s="22"/>
      <c r="AL31" s="22"/>
      <c r="AM31" s="22"/>
      <c r="AN31" s="22"/>
    </row>
    <row r="32" spans="1:40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22"/>
      <c r="AJ32" s="22"/>
      <c r="AK32" s="22"/>
      <c r="AL32" s="22"/>
      <c r="AM32" s="22"/>
      <c r="AN32" s="22"/>
    </row>
    <row r="33" spans="1:40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22"/>
      <c r="AJ33" s="22"/>
      <c r="AK33" s="22"/>
      <c r="AL33" s="22"/>
      <c r="AM33" s="22"/>
      <c r="AN33" s="22"/>
    </row>
    <row r="34" spans="1:40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22"/>
      <c r="AJ34" s="22"/>
      <c r="AK34" s="22"/>
      <c r="AL34" s="22"/>
      <c r="AM34" s="22"/>
      <c r="AN34" s="22"/>
    </row>
    <row r="35" spans="1:40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22"/>
      <c r="AJ35" s="22"/>
      <c r="AK35" s="22"/>
      <c r="AL35" s="22"/>
      <c r="AM35" s="22"/>
      <c r="AN35" s="22"/>
    </row>
    <row r="36" spans="1:40" ht="1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22"/>
      <c r="AJ36" s="22"/>
      <c r="AK36" s="22"/>
      <c r="AL36" s="22"/>
      <c r="AM36" s="22"/>
      <c r="AN36" s="22"/>
    </row>
    <row r="37" spans="1:40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22"/>
      <c r="AJ37" s="22"/>
      <c r="AK37" s="22"/>
      <c r="AL37" s="22"/>
      <c r="AM37" s="22"/>
      <c r="AN37" s="22"/>
    </row>
    <row r="38" spans="1:40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22"/>
      <c r="AJ38" s="22"/>
      <c r="AK38" s="22"/>
      <c r="AL38" s="22"/>
      <c r="AM38" s="22"/>
      <c r="AN38" s="22"/>
    </row>
    <row r="39" spans="1:40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22"/>
      <c r="AJ39" s="22"/>
      <c r="AK39" s="22"/>
      <c r="AL39" s="22"/>
      <c r="AM39" s="22"/>
      <c r="AN39" s="22"/>
    </row>
    <row r="40" spans="1:40" ht="1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22"/>
      <c r="AJ40" s="22"/>
      <c r="AK40" s="22"/>
      <c r="AL40" s="22"/>
      <c r="AM40" s="22"/>
      <c r="AN40" s="22"/>
    </row>
    <row r="41" spans="1:40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22"/>
      <c r="AJ41" s="22"/>
      <c r="AK41" s="22"/>
      <c r="AL41" s="22"/>
      <c r="AM41" s="22"/>
      <c r="AN41" s="22"/>
    </row>
    <row r="42" spans="1:40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22"/>
      <c r="AJ42" s="22"/>
      <c r="AK42" s="22"/>
      <c r="AL42" s="22"/>
      <c r="AM42" s="22"/>
      <c r="AN42" s="22"/>
    </row>
    <row r="43" spans="1:40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22"/>
      <c r="AJ43" s="22"/>
      <c r="AK43" s="22"/>
      <c r="AL43" s="22"/>
      <c r="AM43" s="22"/>
      <c r="AN43" s="22"/>
    </row>
    <row r="44" spans="1:40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22"/>
      <c r="AJ44" s="22"/>
      <c r="AK44" s="22"/>
      <c r="AL44" s="22"/>
      <c r="AM44" s="22"/>
      <c r="AN44" s="22"/>
    </row>
    <row r="45" spans="1:40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22"/>
      <c r="AJ45" s="22"/>
      <c r="AK45" s="22"/>
      <c r="AL45" s="22"/>
      <c r="AM45" s="22"/>
      <c r="AN45" s="22"/>
    </row>
    <row r="46" spans="1:40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22"/>
      <c r="AJ46" s="22"/>
      <c r="AK46" s="22"/>
      <c r="AL46" s="22"/>
      <c r="AM46" s="22"/>
      <c r="AN46" s="22"/>
    </row>
    <row r="47" spans="1:40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22"/>
      <c r="AJ47" s="22"/>
      <c r="AK47" s="22"/>
      <c r="AL47" s="22"/>
      <c r="AM47" s="22"/>
      <c r="AN47" s="22"/>
    </row>
    <row r="48" spans="1:40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22"/>
      <c r="AJ48" s="22"/>
      <c r="AK48" s="22"/>
      <c r="AL48" s="22"/>
      <c r="AM48" s="22"/>
      <c r="AN48" s="22"/>
    </row>
    <row r="49" spans="1:40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22"/>
      <c r="AJ49" s="22"/>
      <c r="AK49" s="22"/>
      <c r="AL49" s="22"/>
      <c r="AM49" s="22"/>
      <c r="AN49" s="22"/>
    </row>
    <row r="50" spans="1:40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22"/>
      <c r="AJ50" s="22"/>
      <c r="AK50" s="22"/>
      <c r="AL50" s="22"/>
      <c r="AM50" s="22"/>
      <c r="AN50" s="22"/>
    </row>
    <row r="51" spans="1:40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22"/>
      <c r="AJ51" s="22"/>
      <c r="AK51" s="22"/>
      <c r="AL51" s="22"/>
      <c r="AM51" s="22"/>
      <c r="AN51" s="22"/>
    </row>
    <row r="52" spans="1:40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22"/>
      <c r="AJ52" s="22"/>
      <c r="AK52" s="22"/>
      <c r="AL52" s="22"/>
      <c r="AM52" s="22"/>
      <c r="AN52" s="22"/>
    </row>
    <row r="53" spans="1:40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22"/>
      <c r="AJ53" s="22"/>
      <c r="AK53" s="22"/>
      <c r="AL53" s="22"/>
      <c r="AM53" s="22"/>
      <c r="AN53" s="22"/>
    </row>
    <row r="54" spans="1:40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22"/>
      <c r="AJ54" s="22"/>
      <c r="AK54" s="22"/>
      <c r="AL54" s="22"/>
      <c r="AM54" s="22"/>
      <c r="AN54" s="22"/>
    </row>
    <row r="55" spans="1:40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22"/>
      <c r="AJ55" s="22"/>
      <c r="AK55" s="22"/>
      <c r="AL55" s="22"/>
      <c r="AM55" s="22"/>
      <c r="AN55" s="22"/>
    </row>
    <row r="56" spans="1:40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22"/>
      <c r="AJ56" s="22"/>
      <c r="AK56" s="22"/>
      <c r="AL56" s="22"/>
      <c r="AM56" s="22"/>
      <c r="AN56" s="22"/>
    </row>
    <row r="57" spans="1:40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22"/>
      <c r="AJ57" s="22"/>
      <c r="AK57" s="22"/>
      <c r="AL57" s="22"/>
      <c r="AM57" s="22"/>
      <c r="AN57" s="22"/>
    </row>
    <row r="58" spans="1:40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22"/>
      <c r="AJ58" s="22"/>
      <c r="AK58" s="22"/>
      <c r="AL58" s="22"/>
      <c r="AM58" s="22"/>
      <c r="AN58" s="22"/>
    </row>
    <row r="59" spans="1:40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22"/>
      <c r="AJ59" s="22"/>
      <c r="AK59" s="22"/>
      <c r="AL59" s="22"/>
      <c r="AM59" s="22"/>
      <c r="AN59" s="22"/>
    </row>
    <row r="60" spans="1:40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22"/>
      <c r="AJ60" s="22"/>
      <c r="AK60" s="22"/>
      <c r="AL60" s="22"/>
      <c r="AM60" s="22"/>
      <c r="AN60" s="22"/>
    </row>
    <row r="61" spans="1:40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22"/>
      <c r="AJ61" s="22"/>
      <c r="AK61" s="22"/>
      <c r="AL61" s="22"/>
      <c r="AM61" s="22"/>
      <c r="AN61" s="22"/>
    </row>
    <row r="62" spans="1:40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22"/>
      <c r="AJ62" s="22"/>
      <c r="AK62" s="22"/>
      <c r="AL62" s="22"/>
      <c r="AM62" s="22"/>
      <c r="AN62" s="22"/>
    </row>
    <row r="63" spans="1:40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22"/>
      <c r="AJ63" s="22"/>
      <c r="AK63" s="22"/>
      <c r="AL63" s="22"/>
      <c r="AM63" s="22"/>
      <c r="AN63" s="22"/>
    </row>
    <row r="64" spans="1:40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22"/>
      <c r="AJ64" s="22"/>
      <c r="AK64" s="22"/>
      <c r="AL64" s="22"/>
      <c r="AM64" s="22"/>
      <c r="AN64" s="22"/>
    </row>
    <row r="65" spans="1:40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22"/>
      <c r="AJ65" s="22"/>
      <c r="AK65" s="22"/>
      <c r="AL65" s="22"/>
      <c r="AM65" s="22"/>
      <c r="AN65" s="22"/>
    </row>
    <row r="66" spans="1:40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22"/>
      <c r="AJ66" s="22"/>
      <c r="AK66" s="22"/>
      <c r="AL66" s="22"/>
      <c r="AM66" s="22"/>
      <c r="AN66" s="22"/>
    </row>
    <row r="67" spans="1:40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22"/>
      <c r="AJ67" s="22"/>
      <c r="AK67" s="22"/>
      <c r="AL67" s="22"/>
      <c r="AM67" s="22"/>
      <c r="AN67" s="22"/>
    </row>
    <row r="68" spans="1:40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22"/>
      <c r="AJ68" s="22"/>
      <c r="AK68" s="22"/>
      <c r="AL68" s="22"/>
      <c r="AM68" s="22"/>
      <c r="AN68" s="22"/>
    </row>
    <row r="69" spans="1:40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22"/>
      <c r="AJ69" s="22"/>
      <c r="AK69" s="22"/>
      <c r="AL69" s="22"/>
      <c r="AM69" s="22"/>
      <c r="AN69" s="22"/>
    </row>
    <row r="70" spans="1:40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22"/>
      <c r="AJ70" s="22"/>
      <c r="AK70" s="22"/>
      <c r="AL70" s="22"/>
      <c r="AM70" s="22"/>
      <c r="AN70" s="22"/>
    </row>
    <row r="71" spans="1:40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22"/>
      <c r="AJ71" s="22"/>
      <c r="AK71" s="22"/>
      <c r="AL71" s="22"/>
      <c r="AM71" s="22"/>
      <c r="AN71" s="22"/>
    </row>
    <row r="72" spans="1:40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22"/>
      <c r="AJ72" s="22"/>
      <c r="AK72" s="22"/>
      <c r="AL72" s="22"/>
      <c r="AM72" s="22"/>
      <c r="AN72" s="22"/>
    </row>
    <row r="73" spans="1:40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22"/>
      <c r="AJ73" s="22"/>
      <c r="AK73" s="22"/>
      <c r="AL73" s="22"/>
      <c r="AM73" s="22"/>
      <c r="AN73" s="22"/>
    </row>
    <row r="74" spans="1:40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22"/>
      <c r="AJ74" s="22"/>
      <c r="AK74" s="22"/>
      <c r="AL74" s="22"/>
      <c r="AM74" s="22"/>
      <c r="AN74" s="22"/>
    </row>
    <row r="75" spans="1:40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22"/>
      <c r="AJ75" s="22"/>
      <c r="AK75" s="22"/>
      <c r="AL75" s="22"/>
      <c r="AM75" s="22"/>
      <c r="AN75" s="22"/>
    </row>
    <row r="76" spans="1:40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22"/>
      <c r="AJ76" s="22"/>
      <c r="AK76" s="22"/>
      <c r="AL76" s="22"/>
      <c r="AM76" s="22"/>
      <c r="AN76" s="22"/>
    </row>
    <row r="77" spans="1:40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22"/>
      <c r="AJ77" s="22"/>
      <c r="AK77" s="22"/>
      <c r="AL77" s="22"/>
      <c r="AM77" s="22"/>
      <c r="AN77" s="22"/>
    </row>
    <row r="78" spans="1:40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22"/>
      <c r="AJ78" s="22"/>
      <c r="AK78" s="22"/>
      <c r="AL78" s="22"/>
      <c r="AM78" s="22"/>
      <c r="AN78" s="22"/>
    </row>
    <row r="79" spans="1:40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22"/>
      <c r="AJ79" s="22"/>
      <c r="AK79" s="22"/>
      <c r="AL79" s="22"/>
      <c r="AM79" s="22"/>
      <c r="AN79" s="22"/>
    </row>
    <row r="80" spans="1:40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22"/>
      <c r="AJ80" s="22"/>
      <c r="AK80" s="22"/>
      <c r="AL80" s="22"/>
      <c r="AM80" s="22"/>
      <c r="AN80" s="22"/>
    </row>
    <row r="81" spans="1:40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22"/>
      <c r="AJ81" s="22"/>
      <c r="AK81" s="22"/>
      <c r="AL81" s="22"/>
      <c r="AM81" s="22"/>
      <c r="AN81" s="22"/>
    </row>
    <row r="82" spans="1:40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22"/>
      <c r="AJ82" s="22"/>
      <c r="AK82" s="22"/>
      <c r="AL82" s="22"/>
      <c r="AM82" s="22"/>
      <c r="AN82" s="22"/>
    </row>
    <row r="83" spans="1:40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22"/>
      <c r="AJ83" s="22"/>
      <c r="AK83" s="22"/>
      <c r="AL83" s="22"/>
      <c r="AM83" s="22"/>
      <c r="AN83" s="22"/>
    </row>
    <row r="84" spans="1:40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22"/>
      <c r="AJ84" s="22"/>
      <c r="AK84" s="22"/>
      <c r="AL84" s="22"/>
      <c r="AM84" s="22"/>
      <c r="AN84" s="22"/>
    </row>
    <row r="85" spans="1:40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22"/>
      <c r="AJ85" s="22"/>
      <c r="AK85" s="22"/>
      <c r="AL85" s="22"/>
      <c r="AM85" s="22"/>
      <c r="AN85" s="22"/>
    </row>
    <row r="86" spans="1:40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22"/>
      <c r="AJ86" s="22"/>
      <c r="AK86" s="22"/>
      <c r="AL86" s="22"/>
      <c r="AM86" s="22"/>
      <c r="AN86" s="22"/>
    </row>
    <row r="87" spans="1:40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22"/>
      <c r="AJ87" s="22"/>
      <c r="AK87" s="22"/>
      <c r="AL87" s="22"/>
      <c r="AM87" s="22"/>
      <c r="AN87" s="22"/>
    </row>
    <row r="88" spans="1:40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22"/>
      <c r="AJ88" s="22"/>
      <c r="AK88" s="22"/>
      <c r="AL88" s="22"/>
      <c r="AM88" s="22"/>
      <c r="AN88" s="22"/>
    </row>
    <row r="89" spans="1:40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22"/>
      <c r="AJ89" s="22"/>
      <c r="AK89" s="22"/>
      <c r="AL89" s="22"/>
      <c r="AM89" s="22"/>
      <c r="AN89" s="22"/>
    </row>
    <row r="90" spans="1:40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22"/>
      <c r="AJ90" s="22"/>
      <c r="AK90" s="22"/>
      <c r="AL90" s="22"/>
      <c r="AM90" s="22"/>
      <c r="AN90" s="22"/>
    </row>
    <row r="91" spans="1:40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22"/>
      <c r="AJ91" s="22"/>
      <c r="AK91" s="22"/>
      <c r="AL91" s="22"/>
      <c r="AM91" s="22"/>
      <c r="AN91" s="22"/>
    </row>
    <row r="92" spans="1:40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22"/>
      <c r="AJ92" s="22"/>
      <c r="AK92" s="22"/>
      <c r="AL92" s="22"/>
      <c r="AM92" s="22"/>
      <c r="AN92" s="22"/>
    </row>
    <row r="93" spans="1:40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22"/>
      <c r="AJ93" s="22"/>
      <c r="AK93" s="22"/>
      <c r="AL93" s="22"/>
      <c r="AM93" s="22"/>
      <c r="AN93" s="22"/>
    </row>
    <row r="94" spans="1:40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22"/>
      <c r="AJ94" s="22"/>
      <c r="AK94" s="22"/>
      <c r="AL94" s="22"/>
      <c r="AM94" s="22"/>
      <c r="AN94" s="22"/>
    </row>
    <row r="95" spans="1:40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22"/>
      <c r="AJ95" s="22"/>
      <c r="AK95" s="22"/>
      <c r="AL95" s="22"/>
      <c r="AM95" s="22"/>
      <c r="AN95" s="22"/>
    </row>
    <row r="96" spans="1:40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22"/>
      <c r="AJ96" s="22"/>
      <c r="AK96" s="22"/>
      <c r="AL96" s="22"/>
      <c r="AM96" s="22"/>
      <c r="AN96" s="22"/>
    </row>
    <row r="97" spans="1:40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22"/>
      <c r="AJ97" s="22"/>
      <c r="AK97" s="22"/>
      <c r="AL97" s="22"/>
      <c r="AM97" s="22"/>
      <c r="AN97" s="22"/>
    </row>
    <row r="98" spans="1:40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22"/>
      <c r="AJ98" s="22"/>
      <c r="AK98" s="22"/>
      <c r="AL98" s="22"/>
      <c r="AM98" s="22"/>
      <c r="AN98" s="22"/>
    </row>
    <row r="99" spans="1:40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22"/>
      <c r="AJ99" s="22"/>
      <c r="AK99" s="22"/>
      <c r="AL99" s="22"/>
      <c r="AM99" s="22"/>
      <c r="AN99" s="22"/>
    </row>
    <row r="100" spans="1:40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22"/>
      <c r="AJ100" s="22"/>
      <c r="AK100" s="22"/>
      <c r="AL100" s="22"/>
      <c r="AM100" s="22"/>
      <c r="AN100" s="22"/>
    </row>
  </sheetData>
  <mergeCells count="32">
    <mergeCell ref="I23:M23"/>
    <mergeCell ref="O23:Q23"/>
    <mergeCell ref="I21:M21"/>
    <mergeCell ref="O20:Q20"/>
    <mergeCell ref="I22:M22"/>
    <mergeCell ref="O21:Q21"/>
    <mergeCell ref="O22:Q22"/>
    <mergeCell ref="I15:Q15"/>
    <mergeCell ref="I13:Q13"/>
    <mergeCell ref="I14:Q14"/>
    <mergeCell ref="A1:AL1"/>
    <mergeCell ref="O19:Q19"/>
    <mergeCell ref="I19:M19"/>
    <mergeCell ref="I20:M20"/>
    <mergeCell ref="I16:Q16"/>
    <mergeCell ref="I18:Q18"/>
    <mergeCell ref="I17:Q17"/>
    <mergeCell ref="A4:A6"/>
    <mergeCell ref="B4:B6"/>
    <mergeCell ref="AA2:AN2"/>
    <mergeCell ref="D4:AH4"/>
    <mergeCell ref="AI4:AN4"/>
    <mergeCell ref="R3:AN3"/>
    <mergeCell ref="A2:Q2"/>
    <mergeCell ref="A3:Q3"/>
    <mergeCell ref="C4:C6"/>
    <mergeCell ref="AN5:AN6"/>
    <mergeCell ref="AI5:AI6"/>
    <mergeCell ref="AJ5:AJ6"/>
    <mergeCell ref="AK5:AK6"/>
    <mergeCell ref="AL5:AL6"/>
    <mergeCell ref="AM5:AM6"/>
  </mergeCells>
  <conditionalFormatting sqref="D5:AH6 Y7:AF8 D7:X11 AG8 Y9:AG11">
    <cfRule type="expression" dxfId="2" priority="1">
      <formula>OR(D$6="CN")</formula>
    </cfRule>
  </conditionalFormatting>
  <conditionalFormatting sqref="AG7">
    <cfRule type="expression" dxfId="1" priority="10">
      <formula>OR(AF$6="CN")</formula>
    </cfRule>
  </conditionalFormatting>
  <conditionalFormatting sqref="AH7:AH11">
    <cfRule type="expression" dxfId="0" priority="8">
      <formula>OR(AH$6="CN")</formula>
    </cfRule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DE49A"/>
    <outlinePr summaryBelow="0" summaryRight="0"/>
  </sheetPr>
  <dimension ref="A1:Z148"/>
  <sheetViews>
    <sheetView topLeftCell="F1" workbookViewId="0">
      <pane ySplit="2" topLeftCell="A6" activePane="bottomLeft" state="frozen"/>
      <selection pane="bottomLeft" activeCell="I21" sqref="I21"/>
    </sheetView>
  </sheetViews>
  <sheetFormatPr defaultColWidth="14.44140625" defaultRowHeight="15" customHeight="1" x14ac:dyDescent="0.25"/>
  <cols>
    <col min="1" max="1" width="6.6640625" customWidth="1"/>
    <col min="2" max="2" width="25.109375" customWidth="1"/>
    <col min="3" max="3" width="14.109375" customWidth="1"/>
    <col min="4" max="4" width="13.88671875" customWidth="1"/>
    <col min="5" max="5" width="22.109375" customWidth="1"/>
    <col min="6" max="6" width="7.44140625" customWidth="1"/>
    <col min="7" max="7" width="17.88671875" customWidth="1"/>
    <col min="8" max="8" width="14.6640625" customWidth="1"/>
    <col min="9" max="9" width="19.6640625" customWidth="1"/>
    <col min="10" max="10" width="15.6640625" customWidth="1"/>
    <col min="11" max="11" width="112" customWidth="1"/>
    <col min="12" max="12" width="16.44140625" customWidth="1"/>
    <col min="13" max="26" width="12.5546875" customWidth="1"/>
  </cols>
  <sheetData>
    <row r="1" spans="1:26" ht="25.5" customHeight="1" x14ac:dyDescent="0.25">
      <c r="A1" s="237" t="s">
        <v>94</v>
      </c>
      <c r="B1" s="184"/>
      <c r="C1" s="184"/>
      <c r="D1" s="184"/>
      <c r="E1" s="184"/>
      <c r="F1" s="184"/>
      <c r="G1" s="184"/>
      <c r="H1" s="184"/>
      <c r="I1" s="184"/>
      <c r="J1" s="184"/>
      <c r="K1" s="182"/>
    </row>
    <row r="2" spans="1:26" ht="15.75" customHeight="1" x14ac:dyDescent="0.25">
      <c r="A2" s="66" t="s">
        <v>1</v>
      </c>
      <c r="B2" s="66" t="s">
        <v>95</v>
      </c>
      <c r="C2" s="66" t="s">
        <v>96</v>
      </c>
      <c r="D2" s="67" t="s">
        <v>97</v>
      </c>
      <c r="E2" s="68" t="s">
        <v>98</v>
      </c>
      <c r="F2" s="68" t="s">
        <v>99</v>
      </c>
      <c r="G2" s="68" t="s">
        <v>100</v>
      </c>
      <c r="H2" s="69" t="s">
        <v>101</v>
      </c>
      <c r="I2" s="68" t="s">
        <v>102</v>
      </c>
      <c r="J2" s="68" t="s">
        <v>103</v>
      </c>
      <c r="K2" s="70" t="s">
        <v>83</v>
      </c>
      <c r="L2" s="71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spans="1:26" ht="23.25" customHeight="1" x14ac:dyDescent="0.25">
      <c r="A3" s="73">
        <v>1</v>
      </c>
      <c r="B3" s="230" t="s">
        <v>104</v>
      </c>
      <c r="C3" s="74" t="s">
        <v>105</v>
      </c>
      <c r="D3" s="75">
        <v>46116</v>
      </c>
      <c r="E3" s="76" t="s">
        <v>106</v>
      </c>
      <c r="F3" s="77">
        <v>4</v>
      </c>
      <c r="G3" s="76">
        <v>0</v>
      </c>
      <c r="H3" s="78">
        <v>0</v>
      </c>
      <c r="I3" s="76">
        <f>G3-(G3*H3)</f>
        <v>0</v>
      </c>
      <c r="J3" s="76">
        <v>0</v>
      </c>
      <c r="K3" s="79" t="s">
        <v>185</v>
      </c>
      <c r="L3" s="80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</row>
    <row r="4" spans="1:26" ht="54.75" customHeight="1" x14ac:dyDescent="0.25">
      <c r="A4" s="73">
        <v>2</v>
      </c>
      <c r="B4" s="212"/>
      <c r="C4" s="74" t="s">
        <v>107</v>
      </c>
      <c r="D4" s="75">
        <v>46116</v>
      </c>
      <c r="E4" s="76" t="s">
        <v>108</v>
      </c>
      <c r="F4" s="77">
        <v>1</v>
      </c>
      <c r="G4" s="76">
        <v>0</v>
      </c>
      <c r="H4" s="76">
        <v>0</v>
      </c>
      <c r="I4" s="76">
        <f>G4-H4</f>
        <v>0</v>
      </c>
      <c r="J4" s="76">
        <v>0</v>
      </c>
      <c r="K4" s="79" t="s">
        <v>185</v>
      </c>
      <c r="L4" s="80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</row>
    <row r="5" spans="1:26" ht="23.25" customHeight="1" x14ac:dyDescent="0.25">
      <c r="A5" s="73">
        <v>3</v>
      </c>
      <c r="B5" s="212"/>
      <c r="C5" s="82" t="s">
        <v>109</v>
      </c>
      <c r="D5" s="83">
        <v>46121</v>
      </c>
      <c r="E5" s="76" t="s">
        <v>110</v>
      </c>
      <c r="F5" s="77">
        <v>1</v>
      </c>
      <c r="G5" s="76">
        <v>0</v>
      </c>
      <c r="H5" s="78">
        <v>0</v>
      </c>
      <c r="I5" s="76">
        <f t="shared" ref="I5:J21" si="0">G5-(G5*H5)</f>
        <v>0</v>
      </c>
      <c r="J5" s="76">
        <v>0</v>
      </c>
      <c r="K5" s="79" t="s">
        <v>185</v>
      </c>
      <c r="L5" s="80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 spans="1:26" ht="30.75" customHeight="1" x14ac:dyDescent="0.25">
      <c r="A6" s="73">
        <v>4</v>
      </c>
      <c r="B6" s="195"/>
      <c r="C6" s="82" t="s">
        <v>111</v>
      </c>
      <c r="D6" s="83">
        <v>46184</v>
      </c>
      <c r="E6" s="76" t="s">
        <v>112</v>
      </c>
      <c r="F6" s="77">
        <v>1</v>
      </c>
      <c r="G6" s="76">
        <v>0</v>
      </c>
      <c r="H6" s="78">
        <v>0</v>
      </c>
      <c r="I6" s="76">
        <f t="shared" si="0"/>
        <v>0</v>
      </c>
      <c r="J6" s="76">
        <v>0</v>
      </c>
      <c r="K6" s="79" t="s">
        <v>185</v>
      </c>
      <c r="L6" s="80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 spans="1:26" ht="36.75" customHeight="1" x14ac:dyDescent="0.25">
      <c r="A7" s="73">
        <v>5</v>
      </c>
      <c r="B7" s="230" t="s">
        <v>113</v>
      </c>
      <c r="C7" s="82" t="s">
        <v>114</v>
      </c>
      <c r="D7" s="83">
        <v>46118</v>
      </c>
      <c r="E7" s="76" t="s">
        <v>115</v>
      </c>
      <c r="F7" s="77">
        <v>1</v>
      </c>
      <c r="G7" s="76">
        <v>0</v>
      </c>
      <c r="H7" s="78">
        <v>0</v>
      </c>
      <c r="I7" s="76">
        <f t="shared" si="0"/>
        <v>0</v>
      </c>
      <c r="J7" s="76">
        <v>0</v>
      </c>
      <c r="K7" s="79" t="s">
        <v>185</v>
      </c>
      <c r="L7" s="80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spans="1:26" ht="23.25" customHeight="1" x14ac:dyDescent="0.25">
      <c r="A8" s="73">
        <v>6</v>
      </c>
      <c r="B8" s="212"/>
      <c r="C8" s="82" t="s">
        <v>116</v>
      </c>
      <c r="D8" s="83">
        <v>46134</v>
      </c>
      <c r="E8" s="76" t="s">
        <v>117</v>
      </c>
      <c r="F8" s="77">
        <v>1</v>
      </c>
      <c r="G8" s="76">
        <v>0</v>
      </c>
      <c r="H8" s="78">
        <v>0</v>
      </c>
      <c r="I8" s="76">
        <f t="shared" si="0"/>
        <v>0</v>
      </c>
      <c r="J8" s="76">
        <v>0</v>
      </c>
      <c r="K8" s="79" t="s">
        <v>185</v>
      </c>
      <c r="L8" s="80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spans="1:26" ht="23.25" customHeight="1" x14ac:dyDescent="0.25">
      <c r="A9" s="73">
        <v>7</v>
      </c>
      <c r="B9" s="195"/>
      <c r="C9" s="82" t="s">
        <v>118</v>
      </c>
      <c r="D9" s="75">
        <v>46186</v>
      </c>
      <c r="E9" s="76" t="s">
        <v>119</v>
      </c>
      <c r="F9" s="77">
        <v>1</v>
      </c>
      <c r="G9" s="76">
        <v>0</v>
      </c>
      <c r="H9" s="78">
        <v>0</v>
      </c>
      <c r="I9" s="76">
        <f t="shared" si="0"/>
        <v>0</v>
      </c>
      <c r="J9" s="76">
        <v>0</v>
      </c>
      <c r="K9" s="79" t="s">
        <v>185</v>
      </c>
      <c r="L9" s="80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spans="1:26" ht="23.25" customHeight="1" x14ac:dyDescent="0.25">
      <c r="A10" s="73">
        <v>8</v>
      </c>
      <c r="B10" s="230" t="s">
        <v>120</v>
      </c>
      <c r="C10" s="82" t="s">
        <v>121</v>
      </c>
      <c r="D10" s="75">
        <v>46130</v>
      </c>
      <c r="E10" s="76" t="s">
        <v>122</v>
      </c>
      <c r="F10" s="77">
        <v>1</v>
      </c>
      <c r="G10" s="76">
        <v>0</v>
      </c>
      <c r="H10" s="78">
        <v>0</v>
      </c>
      <c r="I10" s="76">
        <f t="shared" si="0"/>
        <v>0</v>
      </c>
      <c r="J10" s="76">
        <v>0</v>
      </c>
      <c r="K10" s="79" t="s">
        <v>185</v>
      </c>
      <c r="L10" s="80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spans="1:26" ht="23.25" customHeight="1" x14ac:dyDescent="0.25">
      <c r="A11" s="73">
        <v>9</v>
      </c>
      <c r="B11" s="195"/>
      <c r="C11" s="82" t="s">
        <v>123</v>
      </c>
      <c r="D11" s="75">
        <v>46190</v>
      </c>
      <c r="E11" s="76" t="s">
        <v>124</v>
      </c>
      <c r="F11" s="77">
        <v>1</v>
      </c>
      <c r="G11" s="76">
        <v>0</v>
      </c>
      <c r="H11" s="78">
        <v>0</v>
      </c>
      <c r="I11" s="76">
        <f t="shared" si="0"/>
        <v>0</v>
      </c>
      <c r="J11" s="76">
        <v>0</v>
      </c>
      <c r="K11" s="79" t="s">
        <v>185</v>
      </c>
      <c r="L11" s="80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 spans="1:26" ht="34.5" customHeight="1" x14ac:dyDescent="0.25">
      <c r="A12" s="73">
        <v>10</v>
      </c>
      <c r="B12" s="231" t="s">
        <v>125</v>
      </c>
      <c r="C12" s="82" t="s">
        <v>126</v>
      </c>
      <c r="D12" s="75">
        <v>46130</v>
      </c>
      <c r="E12" s="76" t="s">
        <v>127</v>
      </c>
      <c r="F12" s="77">
        <v>2</v>
      </c>
      <c r="G12" s="76">
        <v>0</v>
      </c>
      <c r="H12" s="78">
        <v>0</v>
      </c>
      <c r="I12" s="76">
        <f t="shared" si="0"/>
        <v>0</v>
      </c>
      <c r="J12" s="76">
        <v>0</v>
      </c>
      <c r="K12" s="79" t="s">
        <v>185</v>
      </c>
      <c r="L12" s="80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 spans="1:26" ht="23.25" customHeight="1" x14ac:dyDescent="0.25">
      <c r="A13" s="73">
        <v>11</v>
      </c>
      <c r="B13" s="212"/>
      <c r="C13" s="84" t="s">
        <v>128</v>
      </c>
      <c r="D13" s="75">
        <v>46135</v>
      </c>
      <c r="E13" s="236" t="s">
        <v>129</v>
      </c>
      <c r="F13" s="184"/>
      <c r="G13" s="184"/>
      <c r="H13" s="182"/>
      <c r="I13" s="76">
        <f t="shared" si="0"/>
        <v>0</v>
      </c>
      <c r="J13" s="76">
        <v>0</v>
      </c>
      <c r="K13" s="79" t="s">
        <v>185</v>
      </c>
      <c r="L13" s="80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 spans="1:26" ht="31.5" customHeight="1" x14ac:dyDescent="0.25">
      <c r="A14" s="73">
        <v>12</v>
      </c>
      <c r="B14" s="212"/>
      <c r="C14" s="85" t="s">
        <v>130</v>
      </c>
      <c r="D14" s="83">
        <v>46147</v>
      </c>
      <c r="E14" s="232" t="s">
        <v>131</v>
      </c>
      <c r="F14" s="184"/>
      <c r="G14" s="184"/>
      <c r="H14" s="182"/>
      <c r="I14" s="76">
        <f t="shared" si="0"/>
        <v>0</v>
      </c>
      <c r="J14" s="76">
        <v>0</v>
      </c>
      <c r="K14" s="79" t="s">
        <v>185</v>
      </c>
      <c r="L14" s="80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 spans="1:26" ht="23.25" customHeight="1" x14ac:dyDescent="0.25">
      <c r="A15" s="73">
        <v>13</v>
      </c>
      <c r="B15" s="212"/>
      <c r="C15" s="82" t="s">
        <v>132</v>
      </c>
      <c r="D15" s="83">
        <v>46147</v>
      </c>
      <c r="E15" s="232" t="s">
        <v>129</v>
      </c>
      <c r="F15" s="184"/>
      <c r="G15" s="184"/>
      <c r="H15" s="182"/>
      <c r="I15" s="76">
        <f t="shared" si="0"/>
        <v>0</v>
      </c>
      <c r="J15" s="76">
        <v>0</v>
      </c>
      <c r="K15" s="79" t="s">
        <v>185</v>
      </c>
      <c r="L15" s="80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 spans="1:26" ht="33.75" customHeight="1" x14ac:dyDescent="0.25">
      <c r="A16" s="73">
        <v>14</v>
      </c>
      <c r="B16" s="212"/>
      <c r="C16" s="82" t="s">
        <v>133</v>
      </c>
      <c r="D16" s="83">
        <v>46157</v>
      </c>
      <c r="E16" s="76" t="s">
        <v>119</v>
      </c>
      <c r="F16" s="77">
        <v>2</v>
      </c>
      <c r="G16" s="76">
        <v>0</v>
      </c>
      <c r="H16" s="78">
        <v>0</v>
      </c>
      <c r="I16" s="76">
        <f t="shared" si="0"/>
        <v>0</v>
      </c>
      <c r="J16" s="76"/>
      <c r="K16" s="79" t="s">
        <v>185</v>
      </c>
      <c r="L16" s="80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 spans="1:26" ht="15.75" customHeight="1" x14ac:dyDescent="0.25">
      <c r="A17" s="73">
        <v>15</v>
      </c>
      <c r="B17" s="212"/>
      <c r="C17" s="231" t="s">
        <v>134</v>
      </c>
      <c r="D17" s="233">
        <v>46158</v>
      </c>
      <c r="E17" s="76" t="s">
        <v>135</v>
      </c>
      <c r="F17" s="77">
        <v>1</v>
      </c>
      <c r="G17" s="76">
        <v>0</v>
      </c>
      <c r="H17" s="78">
        <v>0</v>
      </c>
      <c r="I17" s="76">
        <f t="shared" si="0"/>
        <v>0</v>
      </c>
      <c r="J17" s="76"/>
      <c r="K17" s="79" t="s">
        <v>185</v>
      </c>
      <c r="L17" s="80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spans="1:26" ht="31.5" customHeight="1" x14ac:dyDescent="0.25">
      <c r="A18" s="73">
        <v>16</v>
      </c>
      <c r="B18" s="212"/>
      <c r="C18" s="195"/>
      <c r="D18" s="195"/>
      <c r="E18" s="76" t="s">
        <v>136</v>
      </c>
      <c r="F18" s="77">
        <v>1</v>
      </c>
      <c r="G18" s="76">
        <v>0</v>
      </c>
      <c r="H18" s="78">
        <v>0</v>
      </c>
      <c r="I18" s="76">
        <f t="shared" si="0"/>
        <v>0</v>
      </c>
      <c r="J18" s="77"/>
      <c r="K18" s="79" t="s">
        <v>185</v>
      </c>
      <c r="L18" s="80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 spans="1:26" ht="15.75" customHeight="1" x14ac:dyDescent="0.25">
      <c r="A19" s="73">
        <v>17</v>
      </c>
      <c r="B19" s="212"/>
      <c r="C19" s="82" t="s">
        <v>137</v>
      </c>
      <c r="D19" s="83">
        <v>46169</v>
      </c>
      <c r="E19" s="76" t="s">
        <v>135</v>
      </c>
      <c r="F19" s="77">
        <v>1</v>
      </c>
      <c r="G19" s="76">
        <v>0</v>
      </c>
      <c r="H19" s="78">
        <v>0</v>
      </c>
      <c r="I19" s="76">
        <f t="shared" si="0"/>
        <v>0</v>
      </c>
      <c r="J19" s="77">
        <v>0</v>
      </c>
      <c r="K19" s="79" t="s">
        <v>185</v>
      </c>
      <c r="L19" s="80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 spans="1:26" ht="15.75" customHeight="1" x14ac:dyDescent="0.25">
      <c r="A20" s="73">
        <v>18</v>
      </c>
      <c r="B20" s="212"/>
      <c r="C20" s="82" t="s">
        <v>138</v>
      </c>
      <c r="D20" s="83">
        <v>46189</v>
      </c>
      <c r="E20" s="232" t="s">
        <v>131</v>
      </c>
      <c r="F20" s="184"/>
      <c r="G20" s="184"/>
      <c r="H20" s="182"/>
      <c r="I20" s="76">
        <f t="shared" si="0"/>
        <v>0</v>
      </c>
      <c r="J20" s="77">
        <v>0</v>
      </c>
      <c r="K20" s="79" t="s">
        <v>185</v>
      </c>
      <c r="L20" s="80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spans="1:26" ht="33.75" customHeight="1" x14ac:dyDescent="0.25">
      <c r="A21" s="73">
        <v>19</v>
      </c>
      <c r="B21" s="195"/>
      <c r="C21" s="87" t="s">
        <v>139</v>
      </c>
      <c r="D21" s="75">
        <v>46189</v>
      </c>
      <c r="E21" s="232" t="s">
        <v>129</v>
      </c>
      <c r="F21" s="184"/>
      <c r="G21" s="184"/>
      <c r="H21" s="182"/>
      <c r="I21" s="76">
        <f t="shared" si="0"/>
        <v>0</v>
      </c>
      <c r="J21" s="77">
        <v>0</v>
      </c>
      <c r="K21" s="79" t="s">
        <v>185</v>
      </c>
      <c r="L21" s="80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 spans="1:26" ht="33.75" customHeight="1" x14ac:dyDescent="0.25">
      <c r="A22" s="73">
        <v>20</v>
      </c>
      <c r="B22" s="87" t="s">
        <v>140</v>
      </c>
      <c r="C22" s="87" t="s">
        <v>141</v>
      </c>
      <c r="D22" s="75">
        <v>46138</v>
      </c>
      <c r="E22" s="76" t="s">
        <v>142</v>
      </c>
      <c r="F22" s="77">
        <v>4</v>
      </c>
      <c r="G22" s="76">
        <v>0</v>
      </c>
      <c r="H22" s="78">
        <v>0</v>
      </c>
      <c r="I22" s="76">
        <f>(G22-(G22*H22))*F22</f>
        <v>0</v>
      </c>
      <c r="J22" s="76">
        <v>0</v>
      </c>
      <c r="K22" s="79" t="s">
        <v>185</v>
      </c>
      <c r="L22" s="80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spans="1:26" ht="15.75" customHeight="1" x14ac:dyDescent="0.25">
      <c r="A23" s="73">
        <v>21</v>
      </c>
      <c r="B23" s="87" t="s">
        <v>143</v>
      </c>
      <c r="C23" s="82" t="s">
        <v>144</v>
      </c>
      <c r="D23" s="83">
        <v>46157</v>
      </c>
      <c r="E23" s="76" t="s">
        <v>145</v>
      </c>
      <c r="F23" s="77">
        <v>2</v>
      </c>
      <c r="G23" s="76">
        <v>0</v>
      </c>
      <c r="H23" s="78">
        <v>0</v>
      </c>
      <c r="I23" s="76">
        <f t="shared" ref="I23:I26" si="1">G23-(G23*H23)</f>
        <v>0</v>
      </c>
      <c r="J23" s="76">
        <v>0</v>
      </c>
      <c r="K23" s="79" t="s">
        <v>185</v>
      </c>
      <c r="L23" s="80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 spans="1:26" ht="33.75" customHeight="1" x14ac:dyDescent="0.25">
      <c r="A24" s="73">
        <v>22</v>
      </c>
      <c r="B24" s="87" t="s">
        <v>146</v>
      </c>
      <c r="C24" s="82" t="s">
        <v>147</v>
      </c>
      <c r="D24" s="83">
        <v>46195</v>
      </c>
      <c r="E24" s="76" t="s">
        <v>148</v>
      </c>
      <c r="F24" s="77">
        <v>1</v>
      </c>
      <c r="G24" s="76">
        <v>0</v>
      </c>
      <c r="H24" s="78">
        <v>0</v>
      </c>
      <c r="I24" s="76">
        <f t="shared" si="1"/>
        <v>0</v>
      </c>
      <c r="J24" s="76">
        <v>0</v>
      </c>
      <c r="K24" s="79" t="s">
        <v>185</v>
      </c>
      <c r="L24" s="80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 spans="1:26" ht="15.75" customHeight="1" x14ac:dyDescent="0.25">
      <c r="A25" s="73">
        <v>23</v>
      </c>
      <c r="B25" s="87" t="s">
        <v>149</v>
      </c>
      <c r="C25" s="87" t="s">
        <v>150</v>
      </c>
      <c r="D25" s="75">
        <v>46190</v>
      </c>
      <c r="E25" s="76" t="s">
        <v>151</v>
      </c>
      <c r="F25" s="77">
        <v>1</v>
      </c>
      <c r="G25" s="76">
        <v>0</v>
      </c>
      <c r="H25" s="78">
        <v>0</v>
      </c>
      <c r="I25" s="76">
        <f t="shared" si="1"/>
        <v>0</v>
      </c>
      <c r="J25" s="76">
        <v>0</v>
      </c>
      <c r="K25" s="79" t="s">
        <v>185</v>
      </c>
      <c r="L25" s="80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 spans="1:26" ht="36" customHeight="1" x14ac:dyDescent="0.25">
      <c r="A26" s="73">
        <v>24</v>
      </c>
      <c r="B26" s="87" t="s">
        <v>152</v>
      </c>
      <c r="C26" s="87" t="s">
        <v>153</v>
      </c>
      <c r="D26" s="75">
        <v>46189</v>
      </c>
      <c r="E26" s="76" t="s">
        <v>154</v>
      </c>
      <c r="F26" s="77">
        <v>1</v>
      </c>
      <c r="G26" s="76">
        <v>0</v>
      </c>
      <c r="H26" s="78">
        <v>0</v>
      </c>
      <c r="I26" s="76">
        <f t="shared" si="1"/>
        <v>0</v>
      </c>
      <c r="J26" s="76">
        <v>0</v>
      </c>
      <c r="K26" s="79" t="s">
        <v>185</v>
      </c>
      <c r="L26" s="80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 spans="1:26" ht="15.75" customHeight="1" x14ac:dyDescent="0.25">
      <c r="A27" s="88"/>
      <c r="B27" s="234" t="s">
        <v>64</v>
      </c>
      <c r="C27" s="184"/>
      <c r="D27" s="184"/>
      <c r="E27" s="184"/>
      <c r="F27" s="184"/>
      <c r="G27" s="184"/>
      <c r="H27" s="184"/>
      <c r="I27" s="182"/>
      <c r="J27" s="89">
        <f>SUM(J3:J26)</f>
        <v>0</v>
      </c>
      <c r="K27" s="79" t="s">
        <v>185</v>
      </c>
      <c r="L27" s="80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 spans="1:26" ht="15.75" customHeight="1" x14ac:dyDescent="0.25">
      <c r="A28" s="90"/>
      <c r="B28" s="235" t="s">
        <v>155</v>
      </c>
      <c r="C28" s="184"/>
      <c r="D28" s="184"/>
      <c r="E28" s="184"/>
      <c r="F28" s="184"/>
      <c r="G28" s="184"/>
      <c r="H28" s="184"/>
      <c r="I28" s="182"/>
      <c r="J28" s="91">
        <f>J27*0.5%</f>
        <v>0</v>
      </c>
      <c r="K28" s="79" t="s">
        <v>185</v>
      </c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 spans="1:26" ht="15.75" customHeight="1" x14ac:dyDescent="0.25">
      <c r="A29" s="92"/>
      <c r="B29" s="93"/>
      <c r="C29" s="93"/>
      <c r="D29" s="94"/>
      <c r="E29" s="95"/>
      <c r="F29" s="96"/>
      <c r="G29" s="95"/>
      <c r="H29" s="97"/>
      <c r="I29" s="95"/>
      <c r="J29" s="95"/>
      <c r="K29" s="98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spans="1:26" ht="15.75" customHeight="1" x14ac:dyDescent="0.25">
      <c r="A30" s="92"/>
      <c r="B30" s="99"/>
      <c r="C30" s="99"/>
      <c r="D30" s="100"/>
      <c r="E30" s="101"/>
      <c r="F30" s="102"/>
      <c r="G30" s="101"/>
      <c r="H30" s="103"/>
      <c r="I30" s="101"/>
      <c r="J30" s="101"/>
      <c r="K30" s="98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 spans="1:26" ht="15.75" customHeight="1" x14ac:dyDescent="0.25">
      <c r="A31" s="92"/>
      <c r="B31" s="99"/>
      <c r="C31" s="99"/>
      <c r="D31" s="100"/>
      <c r="E31" s="101"/>
      <c r="F31" s="102"/>
      <c r="G31" s="101"/>
      <c r="H31" s="103"/>
      <c r="I31" s="101"/>
      <c r="J31" s="101"/>
      <c r="K31" s="98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 spans="1:26" ht="15.75" customHeight="1" x14ac:dyDescent="0.25">
      <c r="A32" s="92"/>
      <c r="B32" s="99"/>
      <c r="C32" s="99"/>
      <c r="D32" s="100"/>
      <c r="E32" s="101"/>
      <c r="F32" s="102"/>
      <c r="G32" s="101"/>
      <c r="H32" s="103"/>
      <c r="I32" s="101"/>
      <c r="J32" s="101"/>
      <c r="K32" s="98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spans="1:26" ht="15.75" customHeight="1" x14ac:dyDescent="0.25">
      <c r="A33" s="92"/>
      <c r="B33" s="99"/>
      <c r="C33" s="99"/>
      <c r="D33" s="100"/>
      <c r="E33" s="101"/>
      <c r="F33" s="102"/>
      <c r="G33" s="101"/>
      <c r="H33" s="103"/>
      <c r="I33" s="101"/>
      <c r="J33" s="101"/>
      <c r="K33" s="98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 spans="1:26" ht="15.75" customHeight="1" x14ac:dyDescent="0.25">
      <c r="A34" s="92"/>
      <c r="B34" s="99"/>
      <c r="C34" s="99"/>
      <c r="D34" s="100"/>
      <c r="E34" s="101"/>
      <c r="F34" s="102"/>
      <c r="G34" s="101"/>
      <c r="H34" s="103"/>
      <c r="I34" s="101"/>
      <c r="J34" s="101"/>
      <c r="K34" s="98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 spans="1:26" ht="15.75" customHeight="1" x14ac:dyDescent="0.25">
      <c r="A35" s="92"/>
      <c r="B35" s="99"/>
      <c r="C35" s="99"/>
      <c r="D35" s="100"/>
      <c r="E35" s="101"/>
      <c r="F35" s="102"/>
      <c r="G35" s="101"/>
      <c r="H35" s="103"/>
      <c r="I35" s="101"/>
      <c r="J35" s="101"/>
      <c r="K35" s="98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 spans="1:26" ht="15.75" customHeight="1" x14ac:dyDescent="0.25">
      <c r="A36" s="92"/>
      <c r="B36" s="99"/>
      <c r="C36" s="99"/>
      <c r="D36" s="100"/>
      <c r="E36" s="101"/>
      <c r="F36" s="102"/>
      <c r="G36" s="101"/>
      <c r="H36" s="103"/>
      <c r="I36" s="101"/>
      <c r="J36" s="101"/>
      <c r="K36" s="98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 spans="1:26" ht="15.75" customHeight="1" x14ac:dyDescent="0.25">
      <c r="A37" s="92"/>
      <c r="B37" s="99"/>
      <c r="C37" s="99"/>
      <c r="D37" s="100"/>
      <c r="E37" s="101"/>
      <c r="F37" s="102"/>
      <c r="G37" s="101"/>
      <c r="H37" s="103"/>
      <c r="I37" s="101"/>
      <c r="J37" s="101"/>
      <c r="K37" s="98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</row>
    <row r="38" spans="1:26" ht="15.75" customHeight="1" x14ac:dyDescent="0.25">
      <c r="A38" s="92"/>
      <c r="B38" s="99"/>
      <c r="C38" s="99"/>
      <c r="D38" s="100"/>
      <c r="E38" s="101"/>
      <c r="F38" s="102"/>
      <c r="G38" s="101"/>
      <c r="H38" s="103"/>
      <c r="I38" s="101"/>
      <c r="J38" s="101"/>
      <c r="K38" s="98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 spans="1:26" ht="15.75" customHeight="1" x14ac:dyDescent="0.25">
      <c r="A39" s="92"/>
      <c r="B39" s="99"/>
      <c r="C39" s="99"/>
      <c r="D39" s="100"/>
      <c r="E39" s="101"/>
      <c r="F39" s="102"/>
      <c r="G39" s="101"/>
      <c r="H39" s="103"/>
      <c r="I39" s="101"/>
      <c r="J39" s="101"/>
      <c r="K39" s="98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</row>
    <row r="40" spans="1:26" ht="15.75" customHeight="1" x14ac:dyDescent="0.25">
      <c r="A40" s="92"/>
      <c r="B40" s="99"/>
      <c r="C40" s="99"/>
      <c r="D40" s="100"/>
      <c r="E40" s="101"/>
      <c r="F40" s="102"/>
      <c r="G40" s="101"/>
      <c r="H40" s="103"/>
      <c r="I40" s="101"/>
      <c r="J40" s="101"/>
      <c r="K40" s="98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</row>
    <row r="41" spans="1:26" ht="15.75" customHeight="1" x14ac:dyDescent="0.25">
      <c r="A41" s="92"/>
      <c r="B41" s="99"/>
      <c r="C41" s="99"/>
      <c r="D41" s="100"/>
      <c r="E41" s="101"/>
      <c r="F41" s="102"/>
      <c r="G41" s="101"/>
      <c r="H41" s="103"/>
      <c r="I41" s="101"/>
      <c r="J41" s="101"/>
      <c r="K41" s="98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</row>
    <row r="42" spans="1:26" ht="15.75" customHeight="1" x14ac:dyDescent="0.25">
      <c r="A42" s="92"/>
      <c r="B42" s="99"/>
      <c r="C42" s="99"/>
      <c r="D42" s="100"/>
      <c r="E42" s="101"/>
      <c r="F42" s="102"/>
      <c r="G42" s="101"/>
      <c r="H42" s="103"/>
      <c r="I42" s="101"/>
      <c r="J42" s="101"/>
      <c r="K42" s="98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</row>
    <row r="43" spans="1:26" ht="15.75" customHeight="1" x14ac:dyDescent="0.25">
      <c r="A43" s="92"/>
      <c r="B43" s="99"/>
      <c r="C43" s="99"/>
      <c r="D43" s="100"/>
      <c r="E43" s="101"/>
      <c r="F43" s="102"/>
      <c r="G43" s="101"/>
      <c r="H43" s="103"/>
      <c r="I43" s="101"/>
      <c r="J43" s="101"/>
      <c r="K43" s="98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</row>
    <row r="44" spans="1:26" ht="15.75" customHeight="1" x14ac:dyDescent="0.25">
      <c r="A44" s="92"/>
      <c r="B44" s="99"/>
      <c r="C44" s="99"/>
      <c r="D44" s="100"/>
      <c r="E44" s="101"/>
      <c r="F44" s="102"/>
      <c r="G44" s="101"/>
      <c r="H44" s="103"/>
      <c r="I44" s="101"/>
      <c r="J44" s="101"/>
      <c r="K44" s="98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</row>
    <row r="45" spans="1:26" ht="15.75" customHeight="1" x14ac:dyDescent="0.25">
      <c r="A45" s="92"/>
      <c r="B45" s="99"/>
      <c r="C45" s="99"/>
      <c r="D45" s="100"/>
      <c r="E45" s="101"/>
      <c r="F45" s="102"/>
      <c r="G45" s="101"/>
      <c r="H45" s="103"/>
      <c r="I45" s="101"/>
      <c r="J45" s="101"/>
      <c r="K45" s="98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</row>
    <row r="46" spans="1:26" ht="15.75" customHeight="1" x14ac:dyDescent="0.25">
      <c r="A46" s="92"/>
      <c r="B46" s="99"/>
      <c r="C46" s="99"/>
      <c r="D46" s="100"/>
      <c r="E46" s="101"/>
      <c r="F46" s="102"/>
      <c r="G46" s="101"/>
      <c r="H46" s="103"/>
      <c r="I46" s="101"/>
      <c r="J46" s="101"/>
      <c r="K46" s="98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</row>
    <row r="47" spans="1:26" ht="15.75" customHeight="1" x14ac:dyDescent="0.25">
      <c r="A47" s="92"/>
      <c r="B47" s="99"/>
      <c r="C47" s="99"/>
      <c r="D47" s="100"/>
      <c r="E47" s="101"/>
      <c r="F47" s="102"/>
      <c r="G47" s="101"/>
      <c r="H47" s="103"/>
      <c r="I47" s="101"/>
      <c r="J47" s="101"/>
      <c r="K47" s="98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</row>
    <row r="48" spans="1:26" ht="15.75" customHeight="1" x14ac:dyDescent="0.25">
      <c r="A48" s="92"/>
      <c r="B48" s="99"/>
      <c r="C48" s="99"/>
      <c r="D48" s="100"/>
      <c r="E48" s="101"/>
      <c r="F48" s="102"/>
      <c r="G48" s="101"/>
      <c r="H48" s="103"/>
      <c r="I48" s="101"/>
      <c r="J48" s="101"/>
      <c r="K48" s="98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</row>
    <row r="49" spans="1:26" ht="15.75" customHeight="1" x14ac:dyDescent="0.25">
      <c r="A49" s="92"/>
      <c r="B49" s="99"/>
      <c r="C49" s="99"/>
      <c r="D49" s="100"/>
      <c r="E49" s="101"/>
      <c r="F49" s="102"/>
      <c r="G49" s="101"/>
      <c r="H49" s="103"/>
      <c r="I49" s="101"/>
      <c r="J49" s="101"/>
      <c r="K49" s="98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</row>
    <row r="50" spans="1:26" ht="15.75" customHeight="1" x14ac:dyDescent="0.25">
      <c r="A50" s="92"/>
      <c r="B50" s="99"/>
      <c r="C50" s="99"/>
      <c r="D50" s="100"/>
      <c r="E50" s="101"/>
      <c r="F50" s="102"/>
      <c r="G50" s="101"/>
      <c r="H50" s="103"/>
      <c r="I50" s="101"/>
      <c r="J50" s="101"/>
      <c r="K50" s="98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 spans="1:26" ht="15.75" customHeight="1" x14ac:dyDescent="0.25">
      <c r="A51" s="92"/>
      <c r="B51" s="99"/>
      <c r="C51" s="99"/>
      <c r="D51" s="100"/>
      <c r="E51" s="101"/>
      <c r="F51" s="102"/>
      <c r="G51" s="101"/>
      <c r="H51" s="103"/>
      <c r="I51" s="101"/>
      <c r="J51" s="101"/>
      <c r="K51" s="98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</row>
    <row r="52" spans="1:26" ht="15.75" customHeight="1" x14ac:dyDescent="0.25">
      <c r="A52" s="92"/>
      <c r="B52" s="99"/>
      <c r="C52" s="99"/>
      <c r="D52" s="100"/>
      <c r="E52" s="101"/>
      <c r="F52" s="102"/>
      <c r="G52" s="101"/>
      <c r="H52" s="103"/>
      <c r="I52" s="101"/>
      <c r="J52" s="101"/>
      <c r="K52" s="98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</row>
    <row r="53" spans="1:26" ht="15.75" customHeight="1" x14ac:dyDescent="0.25">
      <c r="A53" s="92"/>
      <c r="B53" s="99"/>
      <c r="C53" s="99"/>
      <c r="D53" s="100"/>
      <c r="E53" s="101"/>
      <c r="F53" s="102"/>
      <c r="G53" s="101"/>
      <c r="H53" s="103"/>
      <c r="I53" s="101"/>
      <c r="J53" s="101"/>
      <c r="K53" s="98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 spans="1:26" ht="15.75" customHeight="1" x14ac:dyDescent="0.25">
      <c r="A54" s="92"/>
      <c r="B54" s="99"/>
      <c r="C54" s="99"/>
      <c r="D54" s="100"/>
      <c r="E54" s="101"/>
      <c r="F54" s="102"/>
      <c r="G54" s="101"/>
      <c r="H54" s="103"/>
      <c r="I54" s="101"/>
      <c r="J54" s="101"/>
      <c r="K54" s="98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 spans="1:26" ht="15.75" customHeight="1" x14ac:dyDescent="0.25">
      <c r="A55" s="92"/>
      <c r="B55" s="99"/>
      <c r="C55" s="99"/>
      <c r="D55" s="100"/>
      <c r="E55" s="101"/>
      <c r="F55" s="102"/>
      <c r="G55" s="101"/>
      <c r="H55" s="103"/>
      <c r="I55" s="101"/>
      <c r="J55" s="101"/>
      <c r="K55" s="98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 spans="1:26" ht="15.75" customHeight="1" x14ac:dyDescent="0.25">
      <c r="A56" s="92"/>
      <c r="B56" s="99"/>
      <c r="C56" s="99"/>
      <c r="D56" s="100"/>
      <c r="E56" s="101"/>
      <c r="F56" s="102"/>
      <c r="G56" s="101"/>
      <c r="H56" s="103"/>
      <c r="I56" s="101"/>
      <c r="J56" s="101"/>
      <c r="K56" s="98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 spans="1:26" ht="15.75" customHeight="1" x14ac:dyDescent="0.25">
      <c r="A57" s="92"/>
      <c r="B57" s="99"/>
      <c r="C57" s="99"/>
      <c r="D57" s="100"/>
      <c r="E57" s="101"/>
      <c r="F57" s="102"/>
      <c r="G57" s="101"/>
      <c r="H57" s="103"/>
      <c r="I57" s="101"/>
      <c r="J57" s="101"/>
      <c r="K57" s="98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</row>
    <row r="58" spans="1:26" ht="15.75" customHeight="1" x14ac:dyDescent="0.25">
      <c r="A58" s="92"/>
      <c r="B58" s="99"/>
      <c r="C58" s="99"/>
      <c r="D58" s="100"/>
      <c r="E58" s="101"/>
      <c r="F58" s="102"/>
      <c r="G58" s="101"/>
      <c r="H58" s="103"/>
      <c r="I58" s="101"/>
      <c r="J58" s="101"/>
      <c r="K58" s="98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</row>
    <row r="59" spans="1:26" ht="15.75" customHeight="1" x14ac:dyDescent="0.25">
      <c r="A59" s="92"/>
      <c r="B59" s="99"/>
      <c r="C59" s="99"/>
      <c r="D59" s="100"/>
      <c r="E59" s="101"/>
      <c r="F59" s="102"/>
      <c r="G59" s="101"/>
      <c r="H59" s="103"/>
      <c r="I59" s="101"/>
      <c r="J59" s="101"/>
      <c r="K59" s="98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</row>
    <row r="60" spans="1:26" ht="15.75" customHeight="1" x14ac:dyDescent="0.25">
      <c r="A60" s="92"/>
      <c r="B60" s="99"/>
      <c r="C60" s="99"/>
      <c r="D60" s="100"/>
      <c r="E60" s="101"/>
      <c r="F60" s="102"/>
      <c r="G60" s="101"/>
      <c r="H60" s="103"/>
      <c r="I60" s="101"/>
      <c r="J60" s="101"/>
      <c r="K60" s="98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</row>
    <row r="61" spans="1:26" ht="15.75" customHeight="1" x14ac:dyDescent="0.25">
      <c r="A61" s="92"/>
      <c r="B61" s="99"/>
      <c r="C61" s="99"/>
      <c r="D61" s="100"/>
      <c r="E61" s="101"/>
      <c r="F61" s="102"/>
      <c r="G61" s="101"/>
      <c r="H61" s="103"/>
      <c r="I61" s="101"/>
      <c r="J61" s="101"/>
      <c r="K61" s="98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 spans="1:26" ht="15.75" customHeight="1" x14ac:dyDescent="0.25">
      <c r="A62" s="92"/>
      <c r="B62" s="99"/>
      <c r="C62" s="99"/>
      <c r="D62" s="100"/>
      <c r="E62" s="101"/>
      <c r="F62" s="102"/>
      <c r="G62" s="101"/>
      <c r="H62" s="103"/>
      <c r="I62" s="101"/>
      <c r="J62" s="101"/>
      <c r="K62" s="98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 spans="1:26" ht="15.75" customHeight="1" x14ac:dyDescent="0.25">
      <c r="A63" s="92"/>
      <c r="B63" s="99"/>
      <c r="C63" s="99"/>
      <c r="D63" s="100"/>
      <c r="E63" s="101"/>
      <c r="F63" s="102"/>
      <c r="G63" s="101"/>
      <c r="H63" s="103"/>
      <c r="I63" s="101"/>
      <c r="J63" s="101"/>
      <c r="K63" s="98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 spans="1:26" ht="15.75" customHeight="1" x14ac:dyDescent="0.25">
      <c r="A64" s="92"/>
      <c r="B64" s="99"/>
      <c r="C64" s="99"/>
      <c r="D64" s="100"/>
      <c r="E64" s="101"/>
      <c r="F64" s="102"/>
      <c r="G64" s="101"/>
      <c r="H64" s="103"/>
      <c r="I64" s="101"/>
      <c r="J64" s="101"/>
      <c r="K64" s="98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 spans="1:26" ht="15.75" customHeight="1" x14ac:dyDescent="0.25">
      <c r="A65" s="92"/>
      <c r="B65" s="99"/>
      <c r="C65" s="99"/>
      <c r="D65" s="100"/>
      <c r="E65" s="101"/>
      <c r="F65" s="102"/>
      <c r="G65" s="101"/>
      <c r="H65" s="103"/>
      <c r="I65" s="101"/>
      <c r="J65" s="101"/>
      <c r="K65" s="98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</row>
    <row r="66" spans="1:26" ht="15.75" customHeight="1" x14ac:dyDescent="0.25">
      <c r="A66" s="92"/>
      <c r="B66" s="99"/>
      <c r="C66" s="99"/>
      <c r="D66" s="100"/>
      <c r="E66" s="101"/>
      <c r="F66" s="102"/>
      <c r="G66" s="101"/>
      <c r="H66" s="103"/>
      <c r="I66" s="101"/>
      <c r="J66" s="101"/>
      <c r="K66" s="98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</row>
    <row r="67" spans="1:26" ht="15.75" customHeight="1" x14ac:dyDescent="0.25">
      <c r="A67" s="92"/>
      <c r="B67" s="99"/>
      <c r="C67" s="99"/>
      <c r="D67" s="100"/>
      <c r="E67" s="101"/>
      <c r="F67" s="102"/>
      <c r="G67" s="101"/>
      <c r="H67" s="103"/>
      <c r="I67" s="101"/>
      <c r="J67" s="101"/>
      <c r="K67" s="98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</row>
    <row r="68" spans="1:26" ht="15.75" customHeight="1" x14ac:dyDescent="0.25">
      <c r="A68" s="92"/>
      <c r="B68" s="99"/>
      <c r="C68" s="99"/>
      <c r="D68" s="100"/>
      <c r="E68" s="101"/>
      <c r="F68" s="102"/>
      <c r="G68" s="101"/>
      <c r="H68" s="103"/>
      <c r="I68" s="101"/>
      <c r="J68" s="101"/>
      <c r="K68" s="98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</row>
    <row r="69" spans="1:26" ht="15.75" customHeight="1" x14ac:dyDescent="0.25">
      <c r="A69" s="92"/>
      <c r="B69" s="99"/>
      <c r="C69" s="99"/>
      <c r="D69" s="100"/>
      <c r="E69" s="101"/>
      <c r="F69" s="102"/>
      <c r="G69" s="101"/>
      <c r="H69" s="103"/>
      <c r="I69" s="101"/>
      <c r="J69" s="101"/>
      <c r="K69" s="98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</row>
    <row r="70" spans="1:26" ht="15.75" customHeight="1" x14ac:dyDescent="0.25">
      <c r="A70" s="92"/>
      <c r="B70" s="99"/>
      <c r="C70" s="99"/>
      <c r="D70" s="100"/>
      <c r="E70" s="101"/>
      <c r="F70" s="102"/>
      <c r="G70" s="101"/>
      <c r="H70" s="103"/>
      <c r="I70" s="101"/>
      <c r="J70" s="101"/>
      <c r="K70" s="98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 spans="1:26" ht="15.75" customHeight="1" x14ac:dyDescent="0.25">
      <c r="A71" s="92"/>
      <c r="B71" s="99"/>
      <c r="C71" s="99"/>
      <c r="D71" s="100"/>
      <c r="E71" s="101"/>
      <c r="F71" s="102"/>
      <c r="G71" s="101"/>
      <c r="H71" s="103"/>
      <c r="I71" s="101"/>
      <c r="J71" s="101"/>
      <c r="K71" s="98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</row>
    <row r="72" spans="1:26" ht="15.75" customHeight="1" x14ac:dyDescent="0.25">
      <c r="A72" s="92"/>
      <c r="B72" s="99"/>
      <c r="C72" s="99"/>
      <c r="D72" s="100"/>
      <c r="E72" s="101"/>
      <c r="F72" s="102"/>
      <c r="G72" s="101"/>
      <c r="H72" s="103"/>
      <c r="I72" s="101"/>
      <c r="J72" s="101"/>
      <c r="K72" s="98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</row>
    <row r="73" spans="1:26" ht="15.75" customHeight="1" x14ac:dyDescent="0.25">
      <c r="A73" s="92"/>
      <c r="B73" s="99"/>
      <c r="C73" s="99"/>
      <c r="D73" s="100"/>
      <c r="E73" s="101"/>
      <c r="F73" s="102"/>
      <c r="G73" s="101"/>
      <c r="H73" s="103"/>
      <c r="I73" s="101"/>
      <c r="J73" s="101"/>
      <c r="K73" s="98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</row>
    <row r="74" spans="1:26" ht="15.75" customHeight="1" x14ac:dyDescent="0.25">
      <c r="A74" s="92"/>
      <c r="B74" s="99"/>
      <c r="C74" s="99"/>
      <c r="D74" s="100"/>
      <c r="E74" s="101"/>
      <c r="F74" s="102"/>
      <c r="G74" s="101"/>
      <c r="H74" s="103"/>
      <c r="I74" s="101"/>
      <c r="J74" s="101"/>
      <c r="K74" s="98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</row>
    <row r="75" spans="1:26" ht="15.75" customHeight="1" x14ac:dyDescent="0.25">
      <c r="A75" s="92"/>
      <c r="B75" s="99"/>
      <c r="C75" s="99"/>
      <c r="D75" s="100"/>
      <c r="E75" s="101"/>
      <c r="F75" s="102"/>
      <c r="G75" s="101"/>
      <c r="H75" s="103"/>
      <c r="I75" s="101"/>
      <c r="J75" s="101"/>
      <c r="K75" s="98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 spans="1:26" ht="15.75" customHeight="1" x14ac:dyDescent="0.25">
      <c r="A76" s="92"/>
      <c r="B76" s="99"/>
      <c r="C76" s="99"/>
      <c r="D76" s="100"/>
      <c r="E76" s="101"/>
      <c r="F76" s="102"/>
      <c r="G76" s="101"/>
      <c r="H76" s="103"/>
      <c r="I76" s="101"/>
      <c r="J76" s="101"/>
      <c r="K76" s="98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</row>
    <row r="77" spans="1:26" ht="15.75" customHeight="1" x14ac:dyDescent="0.25">
      <c r="A77" s="92"/>
      <c r="B77" s="99"/>
      <c r="C77" s="99"/>
      <c r="D77" s="100"/>
      <c r="E77" s="101"/>
      <c r="F77" s="102"/>
      <c r="G77" s="101"/>
      <c r="H77" s="103"/>
      <c r="I77" s="101"/>
      <c r="J77" s="101"/>
      <c r="K77" s="98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 spans="1:26" ht="15.75" customHeight="1" x14ac:dyDescent="0.25">
      <c r="A78" s="92"/>
      <c r="B78" s="99"/>
      <c r="C78" s="99"/>
      <c r="D78" s="100"/>
      <c r="E78" s="101"/>
      <c r="F78" s="102"/>
      <c r="G78" s="101"/>
      <c r="H78" s="103"/>
      <c r="I78" s="101"/>
      <c r="J78" s="101"/>
      <c r="K78" s="98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</row>
    <row r="79" spans="1:26" ht="15.75" customHeight="1" x14ac:dyDescent="0.25">
      <c r="A79" s="92"/>
      <c r="B79" s="99"/>
      <c r="C79" s="99"/>
      <c r="D79" s="100"/>
      <c r="E79" s="101"/>
      <c r="F79" s="102"/>
      <c r="G79" s="101"/>
      <c r="H79" s="103"/>
      <c r="I79" s="101"/>
      <c r="J79" s="101"/>
      <c r="K79" s="98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</row>
    <row r="80" spans="1:26" ht="15.75" customHeight="1" x14ac:dyDescent="0.25">
      <c r="A80" s="92"/>
      <c r="B80" s="99"/>
      <c r="C80" s="99"/>
      <c r="D80" s="100"/>
      <c r="E80" s="101"/>
      <c r="F80" s="102"/>
      <c r="G80" s="101"/>
      <c r="H80" s="103"/>
      <c r="I80" s="101"/>
      <c r="J80" s="101"/>
      <c r="K80" s="98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</row>
    <row r="81" spans="1:26" ht="15.75" customHeight="1" x14ac:dyDescent="0.25">
      <c r="A81" s="92"/>
      <c r="B81" s="99"/>
      <c r="C81" s="99"/>
      <c r="D81" s="100"/>
      <c r="E81" s="101"/>
      <c r="F81" s="102"/>
      <c r="G81" s="101"/>
      <c r="H81" s="103"/>
      <c r="I81" s="101"/>
      <c r="J81" s="101"/>
      <c r="K81" s="98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</row>
    <row r="82" spans="1:26" ht="15.75" customHeight="1" x14ac:dyDescent="0.25">
      <c r="A82" s="92"/>
      <c r="B82" s="99"/>
      <c r="C82" s="99"/>
      <c r="D82" s="100"/>
      <c r="E82" s="101"/>
      <c r="F82" s="102"/>
      <c r="G82" s="101"/>
      <c r="H82" s="103"/>
      <c r="I82" s="101"/>
      <c r="J82" s="101"/>
      <c r="K82" s="98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</row>
    <row r="83" spans="1:26" ht="15.75" customHeight="1" x14ac:dyDescent="0.25">
      <c r="A83" s="92"/>
      <c r="B83" s="99"/>
      <c r="C83" s="99"/>
      <c r="D83" s="100"/>
      <c r="E83" s="101"/>
      <c r="F83" s="102"/>
      <c r="G83" s="101"/>
      <c r="H83" s="103"/>
      <c r="I83" s="101"/>
      <c r="J83" s="101"/>
      <c r="K83" s="98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</row>
    <row r="84" spans="1:26" ht="15.75" customHeight="1" x14ac:dyDescent="0.25">
      <c r="A84" s="92"/>
      <c r="B84" s="99"/>
      <c r="C84" s="99"/>
      <c r="D84" s="100"/>
      <c r="E84" s="101"/>
      <c r="F84" s="102"/>
      <c r="G84" s="101"/>
      <c r="H84" s="103"/>
      <c r="I84" s="101"/>
      <c r="J84" s="101"/>
      <c r="K84" s="98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</row>
    <row r="85" spans="1:26" ht="15.75" customHeight="1" x14ac:dyDescent="0.25">
      <c r="A85" s="92"/>
      <c r="B85" s="99"/>
      <c r="C85" s="99"/>
      <c r="D85" s="100"/>
      <c r="E85" s="101"/>
      <c r="F85" s="102"/>
      <c r="G85" s="101"/>
      <c r="H85" s="103"/>
      <c r="I85" s="101"/>
      <c r="J85" s="101"/>
      <c r="K85" s="98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</row>
    <row r="86" spans="1:26" ht="15.75" customHeight="1" x14ac:dyDescent="0.25">
      <c r="A86" s="92"/>
      <c r="B86" s="99"/>
      <c r="C86" s="99"/>
      <c r="D86" s="100"/>
      <c r="E86" s="101"/>
      <c r="F86" s="102"/>
      <c r="G86" s="101"/>
      <c r="H86" s="103"/>
      <c r="I86" s="101"/>
      <c r="J86" s="101"/>
      <c r="K86" s="98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</row>
    <row r="87" spans="1:26" ht="15.75" customHeight="1" x14ac:dyDescent="0.25">
      <c r="A87" s="92"/>
      <c r="B87" s="99"/>
      <c r="C87" s="99"/>
      <c r="D87" s="100"/>
      <c r="E87" s="101"/>
      <c r="F87" s="102"/>
      <c r="G87" s="101"/>
      <c r="H87" s="103"/>
      <c r="I87" s="101"/>
      <c r="J87" s="101"/>
      <c r="K87" s="98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</row>
    <row r="88" spans="1:26" ht="15.75" customHeight="1" x14ac:dyDescent="0.25">
      <c r="A88" s="92"/>
      <c r="B88" s="99"/>
      <c r="C88" s="99"/>
      <c r="D88" s="100"/>
      <c r="E88" s="101"/>
      <c r="F88" s="102"/>
      <c r="G88" s="101"/>
      <c r="H88" s="103"/>
      <c r="I88" s="101"/>
      <c r="J88" s="101"/>
      <c r="K88" s="98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 spans="1:26" ht="15.75" customHeight="1" x14ac:dyDescent="0.25">
      <c r="A89" s="92"/>
      <c r="B89" s="99"/>
      <c r="C89" s="99"/>
      <c r="D89" s="100"/>
      <c r="E89" s="101"/>
      <c r="F89" s="102"/>
      <c r="G89" s="101"/>
      <c r="H89" s="103"/>
      <c r="I89" s="101"/>
      <c r="J89" s="101"/>
      <c r="K89" s="98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</row>
    <row r="90" spans="1:26" ht="15.75" customHeight="1" x14ac:dyDescent="0.25">
      <c r="A90" s="92"/>
      <c r="B90" s="99"/>
      <c r="C90" s="99"/>
      <c r="D90" s="100"/>
      <c r="E90" s="101"/>
      <c r="F90" s="102"/>
      <c r="G90" s="101"/>
      <c r="H90" s="103"/>
      <c r="I90" s="101"/>
      <c r="J90" s="101"/>
      <c r="K90" s="98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</row>
    <row r="91" spans="1:26" ht="15.75" customHeight="1" x14ac:dyDescent="0.25">
      <c r="A91" s="92"/>
      <c r="B91" s="99"/>
      <c r="C91" s="99"/>
      <c r="D91" s="100"/>
      <c r="E91" s="101"/>
      <c r="F91" s="102"/>
      <c r="G91" s="101"/>
      <c r="H91" s="103"/>
      <c r="I91" s="101"/>
      <c r="J91" s="101"/>
      <c r="K91" s="98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</row>
    <row r="92" spans="1:26" ht="15.75" customHeight="1" x14ac:dyDescent="0.25">
      <c r="A92" s="92"/>
      <c r="B92" s="99"/>
      <c r="C92" s="99"/>
      <c r="D92" s="100"/>
      <c r="E92" s="101"/>
      <c r="F92" s="102"/>
      <c r="G92" s="101"/>
      <c r="H92" s="103"/>
      <c r="I92" s="101"/>
      <c r="J92" s="101"/>
      <c r="K92" s="98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</row>
    <row r="93" spans="1:26" ht="15.75" customHeight="1" x14ac:dyDescent="0.25">
      <c r="A93" s="92"/>
      <c r="B93" s="99"/>
      <c r="C93" s="99"/>
      <c r="D93" s="100"/>
      <c r="E93" s="101"/>
      <c r="F93" s="102"/>
      <c r="G93" s="101"/>
      <c r="H93" s="103"/>
      <c r="I93" s="101"/>
      <c r="J93" s="101"/>
      <c r="K93" s="98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</row>
    <row r="94" spans="1:26" ht="15.75" customHeight="1" x14ac:dyDescent="0.25">
      <c r="A94" s="92"/>
      <c r="B94" s="99"/>
      <c r="C94" s="99"/>
      <c r="D94" s="100"/>
      <c r="E94" s="101"/>
      <c r="F94" s="102"/>
      <c r="G94" s="101"/>
      <c r="H94" s="103"/>
      <c r="I94" s="101"/>
      <c r="J94" s="101"/>
      <c r="K94" s="98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</row>
    <row r="95" spans="1:26" ht="15.75" customHeight="1" x14ac:dyDescent="0.25">
      <c r="A95" s="92"/>
      <c r="B95" s="99"/>
      <c r="C95" s="99"/>
      <c r="D95" s="100"/>
      <c r="E95" s="101"/>
      <c r="F95" s="102"/>
      <c r="G95" s="101"/>
      <c r="H95" s="103"/>
      <c r="I95" s="101"/>
      <c r="J95" s="101"/>
      <c r="K95" s="98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</row>
    <row r="96" spans="1:26" ht="15.75" customHeight="1" x14ac:dyDescent="0.25">
      <c r="A96" s="92"/>
      <c r="B96" s="99"/>
      <c r="C96" s="99"/>
      <c r="D96" s="100"/>
      <c r="E96" s="101"/>
      <c r="F96" s="102"/>
      <c r="G96" s="101"/>
      <c r="H96" s="103"/>
      <c r="I96" s="101"/>
      <c r="J96" s="101"/>
      <c r="K96" s="98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</row>
    <row r="97" spans="1:26" ht="15.75" customHeight="1" x14ac:dyDescent="0.25">
      <c r="A97" s="92"/>
      <c r="B97" s="99"/>
      <c r="C97" s="99"/>
      <c r="D97" s="100"/>
      <c r="E97" s="101"/>
      <c r="F97" s="102"/>
      <c r="G97" s="101"/>
      <c r="H97" s="103"/>
      <c r="I97" s="101"/>
      <c r="J97" s="101"/>
      <c r="K97" s="98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</row>
    <row r="98" spans="1:26" ht="15.75" customHeight="1" x14ac:dyDescent="0.25">
      <c r="A98" s="92"/>
      <c r="B98" s="99"/>
      <c r="C98" s="99"/>
      <c r="D98" s="100"/>
      <c r="E98" s="101"/>
      <c r="F98" s="102"/>
      <c r="G98" s="101"/>
      <c r="H98" s="103"/>
      <c r="I98" s="101"/>
      <c r="J98" s="101"/>
      <c r="K98" s="98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</row>
    <row r="99" spans="1:26" ht="15.75" customHeight="1" x14ac:dyDescent="0.25">
      <c r="A99" s="92"/>
      <c r="B99" s="99"/>
      <c r="C99" s="99"/>
      <c r="D99" s="100"/>
      <c r="E99" s="101"/>
      <c r="F99" s="102"/>
      <c r="G99" s="101"/>
      <c r="H99" s="103"/>
      <c r="I99" s="101"/>
      <c r="J99" s="101"/>
      <c r="K99" s="98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</row>
    <row r="100" spans="1:26" ht="15.75" customHeight="1" x14ac:dyDescent="0.25">
      <c r="A100" s="92"/>
      <c r="B100" s="99"/>
      <c r="C100" s="99"/>
      <c r="D100" s="100"/>
      <c r="E100" s="101"/>
      <c r="F100" s="102"/>
      <c r="G100" s="101"/>
      <c r="H100" s="103"/>
      <c r="I100" s="101"/>
      <c r="J100" s="101"/>
      <c r="K100" s="98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 spans="1:26" ht="15.75" customHeight="1" x14ac:dyDescent="0.25">
      <c r="A101" s="92"/>
      <c r="B101" s="99"/>
      <c r="C101" s="99"/>
      <c r="D101" s="100"/>
      <c r="E101" s="101"/>
      <c r="F101" s="102"/>
      <c r="G101" s="101"/>
      <c r="H101" s="103"/>
      <c r="I101" s="101"/>
      <c r="J101" s="101"/>
      <c r="K101" s="98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</row>
    <row r="102" spans="1:26" ht="15.75" customHeight="1" x14ac:dyDescent="0.25">
      <c r="A102" s="92"/>
      <c r="B102" s="99"/>
      <c r="C102" s="99"/>
      <c r="D102" s="100"/>
      <c r="E102" s="101"/>
      <c r="F102" s="102"/>
      <c r="G102" s="101"/>
      <c r="H102" s="103"/>
      <c r="I102" s="101"/>
      <c r="J102" s="101"/>
      <c r="K102" s="98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</row>
    <row r="103" spans="1:26" ht="15.75" customHeight="1" x14ac:dyDescent="0.25">
      <c r="A103" s="92"/>
      <c r="B103" s="99"/>
      <c r="C103" s="99"/>
      <c r="D103" s="100"/>
      <c r="E103" s="101"/>
      <c r="F103" s="102"/>
      <c r="G103" s="101"/>
      <c r="H103" s="103"/>
      <c r="I103" s="101"/>
      <c r="J103" s="101"/>
      <c r="K103" s="98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</row>
    <row r="104" spans="1:26" ht="15.75" customHeight="1" x14ac:dyDescent="0.25">
      <c r="A104" s="92"/>
      <c r="B104" s="99"/>
      <c r="C104" s="99"/>
      <c r="D104" s="100"/>
      <c r="E104" s="101"/>
      <c r="F104" s="102"/>
      <c r="G104" s="101"/>
      <c r="H104" s="103"/>
      <c r="I104" s="101"/>
      <c r="J104" s="101"/>
      <c r="K104" s="98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</row>
    <row r="105" spans="1:26" ht="15.75" customHeight="1" x14ac:dyDescent="0.25">
      <c r="A105" s="92"/>
      <c r="B105" s="99"/>
      <c r="C105" s="99"/>
      <c r="D105" s="100"/>
      <c r="E105" s="101"/>
      <c r="F105" s="102"/>
      <c r="G105" s="101"/>
      <c r="H105" s="103"/>
      <c r="I105" s="101"/>
      <c r="J105" s="101"/>
      <c r="K105" s="98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</row>
    <row r="106" spans="1:26" ht="15.75" customHeight="1" x14ac:dyDescent="0.25">
      <c r="A106" s="92"/>
      <c r="B106" s="99"/>
      <c r="C106" s="99"/>
      <c r="D106" s="100"/>
      <c r="E106" s="101"/>
      <c r="F106" s="102"/>
      <c r="G106" s="101"/>
      <c r="H106" s="103"/>
      <c r="I106" s="101"/>
      <c r="J106" s="101"/>
      <c r="K106" s="98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 spans="1:26" ht="15.75" customHeight="1" x14ac:dyDescent="0.25">
      <c r="A107" s="92"/>
      <c r="B107" s="99"/>
      <c r="C107" s="99"/>
      <c r="D107" s="100"/>
      <c r="E107" s="101"/>
      <c r="F107" s="102"/>
      <c r="G107" s="101"/>
      <c r="H107" s="103"/>
      <c r="I107" s="101"/>
      <c r="J107" s="101"/>
      <c r="K107" s="98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</row>
    <row r="108" spans="1:26" ht="15.75" customHeight="1" x14ac:dyDescent="0.25">
      <c r="A108" s="92"/>
      <c r="B108" s="99"/>
      <c r="C108" s="99"/>
      <c r="D108" s="100"/>
      <c r="E108" s="101"/>
      <c r="F108" s="102"/>
      <c r="G108" s="101"/>
      <c r="H108" s="103"/>
      <c r="I108" s="101"/>
      <c r="J108" s="101"/>
      <c r="K108" s="98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</row>
    <row r="109" spans="1:26" ht="15.75" customHeight="1" x14ac:dyDescent="0.25">
      <c r="A109" s="92"/>
      <c r="B109" s="99"/>
      <c r="C109" s="99"/>
      <c r="D109" s="100"/>
      <c r="E109" s="101"/>
      <c r="F109" s="102"/>
      <c r="G109" s="101"/>
      <c r="H109" s="103"/>
      <c r="I109" s="101"/>
      <c r="J109" s="101"/>
      <c r="K109" s="98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 spans="1:26" ht="15.75" customHeight="1" x14ac:dyDescent="0.25">
      <c r="A110" s="92"/>
      <c r="B110" s="99"/>
      <c r="C110" s="99"/>
      <c r="D110" s="100"/>
      <c r="E110" s="101"/>
      <c r="F110" s="102"/>
      <c r="G110" s="101"/>
      <c r="H110" s="103"/>
      <c r="I110" s="101"/>
      <c r="J110" s="101"/>
      <c r="K110" s="98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</row>
    <row r="111" spans="1:26" ht="15.75" customHeight="1" x14ac:dyDescent="0.25">
      <c r="A111" s="92"/>
      <c r="B111" s="99"/>
      <c r="C111" s="99"/>
      <c r="D111" s="100"/>
      <c r="E111" s="101"/>
      <c r="F111" s="102"/>
      <c r="G111" s="101"/>
      <c r="H111" s="103"/>
      <c r="I111" s="101"/>
      <c r="J111" s="101"/>
      <c r="K111" s="98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</row>
    <row r="112" spans="1:26" ht="15.75" customHeight="1" x14ac:dyDescent="0.25">
      <c r="A112" s="92"/>
      <c r="B112" s="99"/>
      <c r="C112" s="99"/>
      <c r="D112" s="100"/>
      <c r="E112" s="101"/>
      <c r="F112" s="102"/>
      <c r="G112" s="101"/>
      <c r="H112" s="103"/>
      <c r="I112" s="101"/>
      <c r="J112" s="101"/>
      <c r="K112" s="98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 spans="1:26" ht="15.75" customHeight="1" x14ac:dyDescent="0.25">
      <c r="A113" s="92"/>
      <c r="B113" s="99"/>
      <c r="C113" s="99"/>
      <c r="D113" s="100"/>
      <c r="E113" s="101"/>
      <c r="F113" s="102"/>
      <c r="G113" s="101"/>
      <c r="H113" s="103"/>
      <c r="I113" s="101"/>
      <c r="J113" s="101"/>
      <c r="K113" s="98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 spans="1:26" ht="15.75" customHeight="1" x14ac:dyDescent="0.25">
      <c r="A114" s="92"/>
      <c r="B114" s="99"/>
      <c r="C114" s="99"/>
      <c r="D114" s="100"/>
      <c r="E114" s="101"/>
      <c r="F114" s="102"/>
      <c r="G114" s="101"/>
      <c r="H114" s="103"/>
      <c r="I114" s="101"/>
      <c r="J114" s="101"/>
      <c r="K114" s="98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 spans="1:26" ht="15.75" customHeight="1" x14ac:dyDescent="0.25">
      <c r="A115" s="92"/>
      <c r="B115" s="99"/>
      <c r="C115" s="99"/>
      <c r="D115" s="100"/>
      <c r="E115" s="101"/>
      <c r="F115" s="102"/>
      <c r="G115" s="101"/>
      <c r="H115" s="103"/>
      <c r="I115" s="101"/>
      <c r="J115" s="101"/>
      <c r="K115" s="98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</row>
    <row r="116" spans="1:26" ht="15.75" customHeight="1" x14ac:dyDescent="0.25">
      <c r="A116" s="92"/>
      <c r="B116" s="99"/>
      <c r="C116" s="99"/>
      <c r="D116" s="100"/>
      <c r="E116" s="101"/>
      <c r="F116" s="102"/>
      <c r="G116" s="101"/>
      <c r="H116" s="103"/>
      <c r="I116" s="101"/>
      <c r="J116" s="101"/>
      <c r="K116" s="98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</row>
    <row r="117" spans="1:26" ht="15.75" customHeight="1" x14ac:dyDescent="0.25">
      <c r="A117" s="92"/>
      <c r="B117" s="99"/>
      <c r="C117" s="99"/>
      <c r="D117" s="100"/>
      <c r="E117" s="101"/>
      <c r="F117" s="102"/>
      <c r="G117" s="101"/>
      <c r="H117" s="103"/>
      <c r="I117" s="101"/>
      <c r="J117" s="101"/>
      <c r="K117" s="98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</row>
    <row r="118" spans="1:26" ht="15.75" customHeight="1" x14ac:dyDescent="0.25">
      <c r="A118" s="92"/>
      <c r="B118" s="99"/>
      <c r="C118" s="99"/>
      <c r="D118" s="100"/>
      <c r="E118" s="101"/>
      <c r="F118" s="102"/>
      <c r="G118" s="101"/>
      <c r="H118" s="103"/>
      <c r="I118" s="101"/>
      <c r="J118" s="101"/>
      <c r="K118" s="98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 spans="1:26" ht="15.75" customHeight="1" x14ac:dyDescent="0.25">
      <c r="A119" s="92"/>
      <c r="B119" s="99"/>
      <c r="C119" s="99"/>
      <c r="D119" s="100"/>
      <c r="E119" s="101"/>
      <c r="F119" s="102"/>
      <c r="G119" s="101"/>
      <c r="H119" s="103"/>
      <c r="I119" s="101"/>
      <c r="J119" s="101"/>
      <c r="K119" s="98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</row>
    <row r="120" spans="1:26" ht="15.75" customHeight="1" x14ac:dyDescent="0.25">
      <c r="A120" s="92"/>
      <c r="B120" s="104"/>
      <c r="C120" s="104"/>
      <c r="D120" s="105"/>
      <c r="E120" s="106"/>
      <c r="F120" s="107"/>
      <c r="G120" s="106"/>
      <c r="H120" s="108"/>
      <c r="I120" s="106"/>
      <c r="J120" s="109"/>
      <c r="K120" s="110"/>
    </row>
    <row r="121" spans="1:26" ht="15.75" customHeight="1" x14ac:dyDescent="0.25">
      <c r="A121" s="92"/>
      <c r="B121" s="104"/>
      <c r="C121" s="104"/>
      <c r="D121" s="105"/>
      <c r="E121" s="106"/>
      <c r="F121" s="107"/>
      <c r="G121" s="106"/>
      <c r="H121" s="108"/>
      <c r="I121" s="106"/>
      <c r="J121" s="109"/>
      <c r="K121" s="110"/>
    </row>
    <row r="122" spans="1:26" ht="15.75" customHeight="1" x14ac:dyDescent="0.25">
      <c r="A122" s="92"/>
      <c r="B122" s="104"/>
      <c r="C122" s="104"/>
      <c r="D122" s="105"/>
      <c r="E122" s="106"/>
      <c r="F122" s="107"/>
      <c r="G122" s="106"/>
      <c r="H122" s="108"/>
      <c r="I122" s="106"/>
      <c r="J122" s="109"/>
      <c r="K122" s="110"/>
    </row>
    <row r="123" spans="1:26" ht="15.75" customHeight="1" x14ac:dyDescent="0.25">
      <c r="A123" s="92"/>
      <c r="B123" s="104"/>
      <c r="C123" s="104"/>
      <c r="D123" s="105"/>
      <c r="E123" s="106"/>
      <c r="F123" s="107"/>
      <c r="G123" s="106"/>
      <c r="H123" s="108"/>
      <c r="I123" s="106"/>
      <c r="J123" s="109"/>
      <c r="K123" s="110"/>
    </row>
    <row r="124" spans="1:26" ht="15.75" customHeight="1" x14ac:dyDescent="0.25">
      <c r="A124" s="92"/>
      <c r="B124" s="104"/>
      <c r="C124" s="104"/>
      <c r="D124" s="105"/>
      <c r="E124" s="106"/>
      <c r="F124" s="107"/>
      <c r="G124" s="106"/>
      <c r="H124" s="108"/>
      <c r="I124" s="106"/>
      <c r="J124" s="109"/>
      <c r="K124" s="110"/>
    </row>
    <row r="125" spans="1:26" ht="15.75" customHeight="1" x14ac:dyDescent="0.25">
      <c r="A125" s="92"/>
      <c r="B125" s="104"/>
      <c r="C125" s="104"/>
      <c r="D125" s="105"/>
      <c r="E125" s="106"/>
      <c r="F125" s="107"/>
      <c r="G125" s="106"/>
      <c r="H125" s="108"/>
      <c r="I125" s="106"/>
      <c r="J125" s="109"/>
      <c r="K125" s="110"/>
    </row>
    <row r="126" spans="1:26" ht="15.75" customHeight="1" x14ac:dyDescent="0.25">
      <c r="A126" s="92"/>
      <c r="B126" s="104"/>
      <c r="C126" s="104"/>
      <c r="D126" s="105"/>
      <c r="E126" s="106"/>
      <c r="F126" s="107"/>
      <c r="G126" s="106"/>
      <c r="H126" s="108"/>
      <c r="I126" s="106"/>
      <c r="J126" s="109"/>
      <c r="K126" s="110"/>
    </row>
    <row r="127" spans="1:26" ht="15.75" customHeight="1" x14ac:dyDescent="0.25">
      <c r="A127" s="92"/>
      <c r="B127" s="104"/>
      <c r="C127" s="104"/>
      <c r="D127" s="105"/>
      <c r="E127" s="106"/>
      <c r="F127" s="107"/>
      <c r="G127" s="106"/>
      <c r="H127" s="108"/>
      <c r="I127" s="106"/>
      <c r="J127" s="109"/>
      <c r="K127" s="110"/>
    </row>
    <row r="128" spans="1:26" ht="15.75" customHeight="1" x14ac:dyDescent="0.25">
      <c r="A128" s="92"/>
      <c r="B128" s="104"/>
      <c r="C128" s="104"/>
      <c r="D128" s="105"/>
      <c r="E128" s="106"/>
      <c r="F128" s="107"/>
      <c r="G128" s="106"/>
      <c r="H128" s="108"/>
      <c r="I128" s="106"/>
      <c r="J128" s="109"/>
      <c r="K128" s="110"/>
    </row>
    <row r="129" spans="1:11" ht="15.75" customHeight="1" x14ac:dyDescent="0.25">
      <c r="A129" s="92"/>
      <c r="B129" s="104"/>
      <c r="C129" s="104"/>
      <c r="D129" s="105"/>
      <c r="E129" s="106"/>
      <c r="F129" s="107"/>
      <c r="G129" s="106"/>
      <c r="H129" s="108"/>
      <c r="I129" s="106"/>
      <c r="J129" s="109"/>
      <c r="K129" s="110"/>
    </row>
    <row r="130" spans="1:11" ht="15.75" customHeight="1" x14ac:dyDescent="0.25">
      <c r="A130" s="92"/>
      <c r="B130" s="104"/>
      <c r="C130" s="104"/>
      <c r="D130" s="105"/>
      <c r="E130" s="106"/>
      <c r="F130" s="107"/>
      <c r="G130" s="106"/>
      <c r="H130" s="108"/>
      <c r="I130" s="106"/>
      <c r="J130" s="109"/>
      <c r="K130" s="110"/>
    </row>
    <row r="131" spans="1:11" ht="15.75" customHeight="1" x14ac:dyDescent="0.25">
      <c r="A131" s="92"/>
      <c r="B131" s="104"/>
      <c r="C131" s="104"/>
      <c r="D131" s="105"/>
      <c r="E131" s="106"/>
      <c r="F131" s="107"/>
      <c r="G131" s="106"/>
      <c r="H131" s="108"/>
      <c r="I131" s="106"/>
      <c r="J131" s="109"/>
      <c r="K131" s="110"/>
    </row>
    <row r="132" spans="1:11" ht="15.75" customHeight="1" x14ac:dyDescent="0.25">
      <c r="A132" s="92"/>
      <c r="B132" s="104"/>
      <c r="C132" s="104"/>
      <c r="D132" s="105"/>
      <c r="E132" s="106"/>
      <c r="F132" s="107"/>
      <c r="G132" s="106"/>
      <c r="H132" s="108"/>
      <c r="I132" s="106"/>
      <c r="J132" s="109"/>
      <c r="K132" s="110"/>
    </row>
    <row r="133" spans="1:11" ht="15.75" customHeight="1" x14ac:dyDescent="0.25">
      <c r="A133" s="92"/>
      <c r="B133" s="104"/>
      <c r="C133" s="104"/>
      <c r="D133" s="105"/>
      <c r="E133" s="106"/>
      <c r="F133" s="107"/>
      <c r="G133" s="106"/>
      <c r="H133" s="108"/>
      <c r="I133" s="106"/>
      <c r="J133" s="109"/>
      <c r="K133" s="110"/>
    </row>
    <row r="134" spans="1:11" ht="15.75" customHeight="1" x14ac:dyDescent="0.25">
      <c r="A134" s="92"/>
      <c r="B134" s="104"/>
      <c r="C134" s="104"/>
      <c r="D134" s="105"/>
      <c r="E134" s="106"/>
      <c r="F134" s="107"/>
      <c r="G134" s="106"/>
      <c r="H134" s="108"/>
      <c r="I134" s="106"/>
      <c r="J134" s="109"/>
      <c r="K134" s="110"/>
    </row>
    <row r="135" spans="1:11" ht="15.75" customHeight="1" x14ac:dyDescent="0.25">
      <c r="A135" s="92"/>
      <c r="B135" s="104"/>
      <c r="C135" s="104"/>
      <c r="D135" s="105"/>
      <c r="E135" s="106"/>
      <c r="F135" s="107"/>
      <c r="G135" s="106"/>
      <c r="H135" s="108"/>
      <c r="I135" s="106"/>
      <c r="J135" s="109"/>
      <c r="K135" s="110"/>
    </row>
    <row r="136" spans="1:11" ht="15.75" customHeight="1" x14ac:dyDescent="0.25">
      <c r="A136" s="92"/>
      <c r="B136" s="104"/>
      <c r="C136" s="104"/>
      <c r="D136" s="105"/>
      <c r="E136" s="106"/>
      <c r="F136" s="107"/>
      <c r="G136" s="106"/>
      <c r="H136" s="108"/>
      <c r="I136" s="106"/>
      <c r="J136" s="109"/>
      <c r="K136" s="110"/>
    </row>
    <row r="137" spans="1:11" ht="15.75" customHeight="1" x14ac:dyDescent="0.25">
      <c r="A137" s="92"/>
      <c r="B137" s="104"/>
      <c r="C137" s="104"/>
      <c r="D137" s="105"/>
      <c r="E137" s="106"/>
      <c r="F137" s="107"/>
      <c r="G137" s="106"/>
      <c r="H137" s="108"/>
      <c r="I137" s="106"/>
      <c r="J137" s="109"/>
      <c r="K137" s="110"/>
    </row>
    <row r="138" spans="1:11" ht="15.75" customHeight="1" x14ac:dyDescent="0.25">
      <c r="A138" s="92"/>
      <c r="B138" s="104"/>
      <c r="C138" s="104"/>
      <c r="D138" s="105"/>
      <c r="E138" s="106"/>
      <c r="F138" s="107"/>
      <c r="G138" s="106"/>
      <c r="H138" s="108"/>
      <c r="I138" s="106"/>
      <c r="J138" s="109"/>
      <c r="K138" s="110"/>
    </row>
    <row r="139" spans="1:11" ht="15.75" customHeight="1" x14ac:dyDescent="0.25">
      <c r="A139" s="92"/>
      <c r="B139" s="104"/>
      <c r="C139" s="104"/>
      <c r="D139" s="105"/>
      <c r="E139" s="106"/>
      <c r="F139" s="107"/>
      <c r="G139" s="106"/>
      <c r="H139" s="108"/>
      <c r="I139" s="106"/>
      <c r="J139" s="109"/>
      <c r="K139" s="110"/>
    </row>
    <row r="140" spans="1:11" ht="15.75" customHeight="1" x14ac:dyDescent="0.25">
      <c r="A140" s="92"/>
      <c r="B140" s="104"/>
      <c r="C140" s="104"/>
      <c r="D140" s="105"/>
      <c r="E140" s="106"/>
      <c r="F140" s="107"/>
      <c r="G140" s="106"/>
      <c r="H140" s="108"/>
      <c r="I140" s="106"/>
      <c r="J140" s="109"/>
      <c r="K140" s="110"/>
    </row>
    <row r="141" spans="1:11" ht="15.75" customHeight="1" x14ac:dyDescent="0.25">
      <c r="A141" s="92"/>
      <c r="B141" s="104"/>
      <c r="C141" s="104"/>
      <c r="D141" s="105"/>
      <c r="E141" s="106"/>
      <c r="F141" s="107"/>
      <c r="G141" s="106"/>
      <c r="H141" s="108"/>
      <c r="I141" s="106"/>
      <c r="J141" s="109"/>
      <c r="K141" s="110"/>
    </row>
    <row r="142" spans="1:11" ht="15.75" customHeight="1" x14ac:dyDescent="0.25">
      <c r="A142" s="92"/>
      <c r="B142" s="104"/>
      <c r="C142" s="104"/>
      <c r="D142" s="105"/>
      <c r="E142" s="106"/>
      <c r="F142" s="107"/>
      <c r="G142" s="106"/>
      <c r="H142" s="108"/>
      <c r="I142" s="106"/>
      <c r="J142" s="109"/>
      <c r="K142" s="110"/>
    </row>
    <row r="143" spans="1:11" ht="15.75" customHeight="1" x14ac:dyDescent="0.25">
      <c r="A143" s="92"/>
      <c r="B143" s="104"/>
      <c r="C143" s="104"/>
      <c r="D143" s="105"/>
      <c r="E143" s="106"/>
      <c r="F143" s="107"/>
      <c r="G143" s="106"/>
      <c r="H143" s="108"/>
      <c r="I143" s="106"/>
      <c r="J143" s="109"/>
      <c r="K143" s="110"/>
    </row>
    <row r="144" spans="1:11" ht="15.75" customHeight="1" x14ac:dyDescent="0.25">
      <c r="A144" s="92"/>
      <c r="B144" s="104"/>
      <c r="C144" s="104"/>
      <c r="D144" s="105"/>
      <c r="E144" s="106"/>
      <c r="F144" s="107"/>
      <c r="G144" s="106"/>
      <c r="H144" s="108"/>
      <c r="I144" s="106"/>
      <c r="J144" s="109"/>
      <c r="K144" s="110"/>
    </row>
    <row r="145" spans="1:11" ht="15.75" customHeight="1" x14ac:dyDescent="0.25">
      <c r="A145" s="92"/>
      <c r="B145" s="104"/>
      <c r="C145" s="104"/>
      <c r="D145" s="105"/>
      <c r="E145" s="106"/>
      <c r="F145" s="107"/>
      <c r="G145" s="106"/>
      <c r="H145" s="108"/>
      <c r="I145" s="106"/>
      <c r="J145" s="109"/>
      <c r="K145" s="110"/>
    </row>
    <row r="146" spans="1:11" ht="15.75" customHeight="1" x14ac:dyDescent="0.25">
      <c r="A146" s="92"/>
      <c r="B146" s="104"/>
      <c r="C146" s="104"/>
      <c r="D146" s="105"/>
      <c r="E146" s="106"/>
      <c r="F146" s="107"/>
      <c r="G146" s="106"/>
      <c r="H146" s="108"/>
      <c r="I146" s="106"/>
      <c r="J146" s="109"/>
      <c r="K146" s="110"/>
    </row>
    <row r="147" spans="1:11" ht="15.75" customHeight="1" x14ac:dyDescent="0.25">
      <c r="A147" s="92"/>
      <c r="B147" s="104"/>
      <c r="C147" s="104"/>
      <c r="D147" s="105"/>
      <c r="E147" s="106"/>
      <c r="F147" s="107"/>
      <c r="G147" s="106"/>
      <c r="H147" s="108"/>
      <c r="I147" s="106"/>
      <c r="J147" s="109"/>
      <c r="K147" s="110"/>
    </row>
    <row r="148" spans="1:11" ht="15.75" customHeight="1" x14ac:dyDescent="0.25">
      <c r="A148" s="92"/>
      <c r="B148" s="104"/>
      <c r="C148" s="104"/>
      <c r="D148" s="105"/>
      <c r="E148" s="106"/>
      <c r="F148" s="107"/>
      <c r="G148" s="106"/>
      <c r="H148" s="108"/>
      <c r="I148" s="106"/>
      <c r="J148" s="109"/>
      <c r="K148" s="110"/>
    </row>
  </sheetData>
  <mergeCells count="14">
    <mergeCell ref="A1:K1"/>
    <mergeCell ref="E21:H21"/>
    <mergeCell ref="E20:H20"/>
    <mergeCell ref="B27:I27"/>
    <mergeCell ref="B28:I28"/>
    <mergeCell ref="B3:B6"/>
    <mergeCell ref="B7:B9"/>
    <mergeCell ref="E13:H13"/>
    <mergeCell ref="B10:B11"/>
    <mergeCell ref="B12:B21"/>
    <mergeCell ref="E14:H14"/>
    <mergeCell ref="E15:H15"/>
    <mergeCell ref="D17:D18"/>
    <mergeCell ref="C17:C18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0"/>
  <sheetViews>
    <sheetView tabSelected="1" workbookViewId="0">
      <selection activeCell="D16" sqref="D16"/>
    </sheetView>
  </sheetViews>
  <sheetFormatPr defaultColWidth="14.44140625" defaultRowHeight="15" customHeight="1" x14ac:dyDescent="0.25"/>
  <cols>
    <col min="1" max="1" width="9.109375" customWidth="1"/>
    <col min="2" max="2" width="18.109375" customWidth="1"/>
    <col min="3" max="3" width="16.109375" customWidth="1"/>
    <col min="4" max="4" width="13.88671875" customWidth="1"/>
    <col min="5" max="5" width="17.6640625" customWidth="1"/>
    <col min="6" max="6" width="12.44140625" customWidth="1"/>
    <col min="7" max="7" width="18.6640625" customWidth="1"/>
    <col min="8" max="8" width="16.44140625" customWidth="1"/>
    <col min="9" max="9" width="15.109375" customWidth="1"/>
    <col min="10" max="10" width="19.88671875" customWidth="1"/>
    <col min="11" max="11" width="15.109375" customWidth="1"/>
    <col min="12" max="12" width="17.5546875" customWidth="1"/>
    <col min="13" max="13" width="15.33203125" customWidth="1"/>
    <col min="14" max="14" width="15.88671875" customWidth="1"/>
    <col min="15" max="15" width="13.5546875" customWidth="1"/>
  </cols>
  <sheetData>
    <row r="1" spans="1:15" ht="24" customHeight="1" x14ac:dyDescent="0.25">
      <c r="A1" s="111"/>
      <c r="B1" s="242" t="s">
        <v>156</v>
      </c>
      <c r="C1" s="243"/>
      <c r="D1" s="243"/>
      <c r="E1" s="243"/>
      <c r="F1" s="243"/>
      <c r="G1" s="243"/>
      <c r="H1" s="243"/>
      <c r="I1" s="243"/>
      <c r="J1" s="243"/>
      <c r="K1" s="112"/>
      <c r="L1" s="112"/>
      <c r="M1" s="112"/>
      <c r="N1" s="112"/>
      <c r="O1" s="112"/>
    </row>
    <row r="2" spans="1:15" ht="17.25" customHeight="1" x14ac:dyDescent="0.25">
      <c r="A2" s="111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</row>
    <row r="3" spans="1:15" ht="22.5" customHeight="1" x14ac:dyDescent="0.25">
      <c r="A3" s="111"/>
      <c r="B3" s="240" t="s">
        <v>157</v>
      </c>
      <c r="C3" s="214"/>
      <c r="D3" s="238" t="s">
        <v>21</v>
      </c>
      <c r="E3" s="182"/>
      <c r="F3" s="111"/>
      <c r="G3" s="240" t="s">
        <v>157</v>
      </c>
      <c r="H3" s="214"/>
      <c r="I3" s="238" t="s">
        <v>23</v>
      </c>
      <c r="J3" s="182"/>
      <c r="K3" s="111"/>
      <c r="L3" s="111"/>
      <c r="M3" s="111"/>
      <c r="N3" s="111"/>
      <c r="O3" s="111"/>
    </row>
    <row r="4" spans="1:15" ht="22.5" customHeight="1" x14ac:dyDescent="0.25">
      <c r="A4" s="111"/>
      <c r="B4" s="113" t="s">
        <v>158</v>
      </c>
      <c r="C4" s="114" t="s">
        <v>159</v>
      </c>
      <c r="D4" s="115" t="s">
        <v>160</v>
      </c>
      <c r="E4" s="116" t="s">
        <v>161</v>
      </c>
      <c r="F4" s="111"/>
      <c r="G4" s="113" t="s">
        <v>158</v>
      </c>
      <c r="H4" s="114" t="s">
        <v>162</v>
      </c>
      <c r="I4" s="115" t="s">
        <v>160</v>
      </c>
      <c r="J4" s="116" t="s">
        <v>161</v>
      </c>
      <c r="K4" s="111"/>
      <c r="L4" s="111"/>
      <c r="M4" s="111"/>
      <c r="N4" s="111"/>
      <c r="O4" s="111"/>
    </row>
    <row r="5" spans="1:15" ht="22.5" customHeight="1" x14ac:dyDescent="0.25">
      <c r="A5" s="111"/>
      <c r="B5" s="113" t="s">
        <v>163</v>
      </c>
      <c r="C5" s="114" t="s">
        <v>164</v>
      </c>
      <c r="D5" s="115" t="s">
        <v>9</v>
      </c>
      <c r="E5" s="117">
        <f>'TỔNG LƯƠNG'!D4</f>
        <v>0</v>
      </c>
      <c r="F5" s="111"/>
      <c r="G5" s="113" t="s">
        <v>163</v>
      </c>
      <c r="H5" s="114" t="s">
        <v>24</v>
      </c>
      <c r="I5" s="115" t="s">
        <v>9</v>
      </c>
      <c r="J5" s="117">
        <f>'TỔNG LƯƠNG'!D5</f>
        <v>0</v>
      </c>
      <c r="K5" s="111"/>
      <c r="L5" s="111"/>
      <c r="M5" s="111"/>
      <c r="N5" s="111"/>
      <c r="O5" s="111"/>
    </row>
    <row r="6" spans="1:15" ht="22.5" customHeight="1" x14ac:dyDescent="0.25">
      <c r="A6" s="111"/>
      <c r="B6" s="118" t="s">
        <v>65</v>
      </c>
      <c r="C6" s="119" t="s">
        <v>165</v>
      </c>
      <c r="D6" s="119" t="s">
        <v>166</v>
      </c>
      <c r="E6" s="119" t="s">
        <v>167</v>
      </c>
      <c r="F6" s="111"/>
      <c r="G6" s="118" t="s">
        <v>65</v>
      </c>
      <c r="H6" s="119" t="s">
        <v>165</v>
      </c>
      <c r="I6" s="119" t="s">
        <v>166</v>
      </c>
      <c r="J6" s="119" t="s">
        <v>167</v>
      </c>
      <c r="K6" s="111"/>
      <c r="L6" s="111"/>
      <c r="M6" s="111"/>
      <c r="N6" s="111"/>
      <c r="O6" s="111"/>
    </row>
    <row r="7" spans="1:15" ht="22.5" customHeight="1" x14ac:dyDescent="0.25">
      <c r="A7" s="111"/>
      <c r="B7" s="120" t="s">
        <v>168</v>
      </c>
      <c r="C7" s="121">
        <f>'TỔNG LƯƠNG'!F4</f>
        <v>25</v>
      </c>
      <c r="D7" s="122">
        <f>'TỔNG LƯƠNG'!G4</f>
        <v>0</v>
      </c>
      <c r="E7" s="123"/>
      <c r="F7" s="111"/>
      <c r="G7" s="120" t="s">
        <v>168</v>
      </c>
      <c r="H7" s="121">
        <f>'TỔNG LƯƠNG'!F5</f>
        <v>26</v>
      </c>
      <c r="I7" s="124">
        <f>'TỔNG LƯƠNG'!G5</f>
        <v>0</v>
      </c>
      <c r="J7" s="123"/>
      <c r="K7" s="111"/>
      <c r="L7" s="111"/>
      <c r="M7" s="111"/>
      <c r="N7" s="111"/>
      <c r="O7" s="111"/>
    </row>
    <row r="8" spans="1:15" ht="22.5" customHeight="1" x14ac:dyDescent="0.25">
      <c r="A8" s="111"/>
      <c r="B8" s="125" t="s">
        <v>169</v>
      </c>
      <c r="C8" s="126"/>
      <c r="D8" s="126"/>
      <c r="E8" s="123"/>
      <c r="F8" s="111"/>
      <c r="G8" s="125" t="s">
        <v>169</v>
      </c>
      <c r="H8" s="126"/>
      <c r="I8" s="127"/>
      <c r="J8" s="123"/>
      <c r="K8" s="111"/>
      <c r="L8" s="111"/>
      <c r="M8" s="111"/>
      <c r="N8" s="111"/>
      <c r="O8" s="111"/>
    </row>
    <row r="9" spans="1:15" ht="22.5" customHeight="1" x14ac:dyDescent="0.25">
      <c r="A9" s="111"/>
      <c r="B9" s="125" t="s">
        <v>170</v>
      </c>
      <c r="C9" s="126"/>
      <c r="D9" s="126"/>
      <c r="E9" s="123"/>
      <c r="F9" s="111"/>
      <c r="G9" s="125" t="s">
        <v>170</v>
      </c>
      <c r="H9" s="126"/>
      <c r="I9" s="127"/>
      <c r="J9" s="123"/>
      <c r="K9" s="111"/>
      <c r="L9" s="111"/>
      <c r="M9" s="111"/>
      <c r="N9" s="111"/>
      <c r="O9" s="111"/>
    </row>
    <row r="10" spans="1:15" ht="33" customHeight="1" x14ac:dyDescent="0.25">
      <c r="A10" s="111"/>
      <c r="B10" s="125" t="s">
        <v>5</v>
      </c>
      <c r="C10" s="126"/>
      <c r="D10" s="128">
        <f>'TỔNG LƯƠNG'!L4</f>
        <v>0</v>
      </c>
      <c r="E10" s="123"/>
      <c r="F10" s="111"/>
      <c r="G10" s="125" t="s">
        <v>5</v>
      </c>
      <c r="H10" s="126"/>
      <c r="I10" s="129">
        <f>'TỔNG LƯƠNG'!L5</f>
        <v>0</v>
      </c>
      <c r="J10" s="123" t="s">
        <v>171</v>
      </c>
      <c r="K10" s="111"/>
      <c r="L10" s="111"/>
      <c r="M10" s="111"/>
      <c r="N10" s="111"/>
      <c r="O10" s="111"/>
    </row>
    <row r="11" spans="1:15" ht="25.5" customHeight="1" x14ac:dyDescent="0.25">
      <c r="A11" s="111"/>
      <c r="B11" s="130" t="s">
        <v>14</v>
      </c>
      <c r="C11" s="126"/>
      <c r="D11" s="128">
        <f>'TỔNG LƯƠNG'!I4</f>
        <v>0</v>
      </c>
      <c r="E11" s="123"/>
      <c r="F11" s="111"/>
      <c r="G11" s="130" t="s">
        <v>14</v>
      </c>
      <c r="H11" s="126"/>
      <c r="I11" s="129">
        <f>'TỔNG LƯƠNG'!I5</f>
        <v>0</v>
      </c>
      <c r="J11" s="123"/>
      <c r="K11" s="111"/>
      <c r="L11" s="111"/>
      <c r="M11" s="111"/>
      <c r="N11" s="111"/>
      <c r="O11" s="111"/>
    </row>
    <row r="12" spans="1:15" ht="22.5" customHeight="1" x14ac:dyDescent="0.25">
      <c r="A12" s="111"/>
      <c r="B12" s="125" t="s">
        <v>172</v>
      </c>
      <c r="C12" s="126"/>
      <c r="D12" s="131">
        <f>'TỔNG LƯƠNG'!H4</f>
        <v>0</v>
      </c>
      <c r="E12" s="123"/>
      <c r="F12" s="111"/>
      <c r="G12" s="125" t="s">
        <v>172</v>
      </c>
      <c r="H12" s="126"/>
      <c r="I12" s="132">
        <f>'TỔNG LƯƠNG'!H5</f>
        <v>0</v>
      </c>
      <c r="J12" s="123"/>
      <c r="K12" s="111"/>
      <c r="L12" s="111"/>
      <c r="M12" s="111"/>
      <c r="N12" s="111"/>
      <c r="O12" s="111"/>
    </row>
    <row r="13" spans="1:15" ht="22.5" customHeight="1" x14ac:dyDescent="0.25">
      <c r="A13" s="111"/>
      <c r="B13" s="125" t="s">
        <v>173</v>
      </c>
      <c r="C13" s="133"/>
      <c r="D13" s="131">
        <f>0</f>
        <v>0</v>
      </c>
      <c r="E13" s="123"/>
      <c r="F13" s="111"/>
      <c r="G13" s="125" t="s">
        <v>173</v>
      </c>
      <c r="H13" s="133"/>
      <c r="I13" s="132">
        <f>'DOANH THU KỸ THUẬT'!J12</f>
        <v>0</v>
      </c>
      <c r="J13" s="123"/>
      <c r="K13" s="111"/>
      <c r="L13" s="111"/>
      <c r="M13" s="111"/>
      <c r="N13" s="111"/>
      <c r="O13" s="111"/>
    </row>
    <row r="14" spans="1:15" ht="22.5" customHeight="1" x14ac:dyDescent="0.25">
      <c r="A14" s="111"/>
      <c r="B14" s="134" t="s">
        <v>174</v>
      </c>
      <c r="C14" s="135"/>
      <c r="D14" s="136">
        <f>SUM(D7:D13)</f>
        <v>0</v>
      </c>
      <c r="E14" s="137"/>
      <c r="F14" s="111"/>
      <c r="G14" s="138" t="s">
        <v>174</v>
      </c>
      <c r="H14" s="135"/>
      <c r="I14" s="139">
        <f>SUM(I7:I13)</f>
        <v>0</v>
      </c>
      <c r="J14" s="137"/>
      <c r="K14" s="111"/>
      <c r="L14" s="111"/>
      <c r="M14" s="111"/>
      <c r="N14" s="111"/>
      <c r="O14" s="111"/>
    </row>
    <row r="15" spans="1:15" ht="22.5" customHeight="1" x14ac:dyDescent="0.25">
      <c r="A15" s="111"/>
      <c r="B15" s="140" t="s">
        <v>20</v>
      </c>
      <c r="C15" s="133"/>
      <c r="D15" s="131">
        <v>0</v>
      </c>
      <c r="E15" s="86"/>
      <c r="F15" s="111"/>
      <c r="G15" s="140" t="s">
        <v>20</v>
      </c>
      <c r="H15" s="141"/>
      <c r="I15" s="142">
        <v>0</v>
      </c>
      <c r="J15" s="86"/>
      <c r="K15" s="111"/>
      <c r="L15" s="111"/>
      <c r="M15" s="111"/>
      <c r="N15" s="111"/>
      <c r="O15" s="111"/>
    </row>
    <row r="16" spans="1:15" ht="22.5" customHeight="1" x14ac:dyDescent="0.25">
      <c r="A16" s="111"/>
      <c r="B16" s="125" t="s">
        <v>18</v>
      </c>
      <c r="C16" s="133"/>
      <c r="D16" s="128"/>
      <c r="E16" s="123"/>
      <c r="F16" s="111"/>
      <c r="G16" s="143" t="s">
        <v>18</v>
      </c>
      <c r="H16" s="141"/>
      <c r="I16" s="144"/>
      <c r="J16" s="145"/>
      <c r="K16" s="111"/>
      <c r="L16" s="111"/>
      <c r="M16" s="111"/>
      <c r="N16" s="111"/>
      <c r="O16" s="111"/>
    </row>
    <row r="17" spans="1:15" ht="22.5" customHeight="1" x14ac:dyDescent="0.25">
      <c r="A17" s="111"/>
      <c r="B17" s="125" t="s">
        <v>175</v>
      </c>
      <c r="C17" s="133"/>
      <c r="D17" s="126">
        <v>0</v>
      </c>
      <c r="E17" s="123"/>
      <c r="F17" s="111"/>
      <c r="G17" s="143" t="s">
        <v>175</v>
      </c>
      <c r="H17" s="141"/>
      <c r="I17" s="146">
        <v>0</v>
      </c>
      <c r="J17" s="147"/>
      <c r="K17" s="111"/>
      <c r="L17" s="111"/>
      <c r="M17" s="111"/>
      <c r="N17" s="111"/>
      <c r="O17" s="111"/>
    </row>
    <row r="18" spans="1:15" ht="22.5" customHeight="1" x14ac:dyDescent="0.25">
      <c r="A18" s="111"/>
      <c r="B18" s="125" t="s">
        <v>19</v>
      </c>
      <c r="C18" s="133"/>
      <c r="D18" s="126">
        <v>0</v>
      </c>
      <c r="E18" s="123"/>
      <c r="F18" s="111"/>
      <c r="G18" s="143" t="s">
        <v>19</v>
      </c>
      <c r="H18" s="141"/>
      <c r="I18" s="146">
        <v>0</v>
      </c>
      <c r="J18" s="147"/>
      <c r="K18" s="111"/>
      <c r="L18" s="111"/>
      <c r="M18" s="111"/>
      <c r="N18" s="111"/>
      <c r="O18" s="111"/>
    </row>
    <row r="19" spans="1:15" ht="22.5" customHeight="1" x14ac:dyDescent="0.25">
      <c r="A19" s="111"/>
      <c r="B19" s="148" t="s">
        <v>176</v>
      </c>
      <c r="C19" s="135"/>
      <c r="D19" s="136">
        <f>SUM(D15:D18)</f>
        <v>0</v>
      </c>
      <c r="E19" s="137"/>
      <c r="F19" s="111"/>
      <c r="G19" s="148" t="s">
        <v>176</v>
      </c>
      <c r="H19" s="135"/>
      <c r="I19" s="139">
        <f>SUM(I15:I18)</f>
        <v>0</v>
      </c>
      <c r="J19" s="137"/>
      <c r="K19" s="111"/>
      <c r="L19" s="111"/>
      <c r="M19" s="111"/>
      <c r="N19" s="111"/>
      <c r="O19" s="111"/>
    </row>
    <row r="20" spans="1:15" ht="22.5" customHeight="1" x14ac:dyDescent="0.25">
      <c r="A20" s="111"/>
      <c r="B20" s="149" t="s">
        <v>177</v>
      </c>
      <c r="C20" s="150"/>
      <c r="D20" s="151">
        <f>D14-D19</f>
        <v>0</v>
      </c>
      <c r="E20" s="152"/>
      <c r="F20" s="111"/>
      <c r="G20" s="149" t="s">
        <v>177</v>
      </c>
      <c r="H20" s="150"/>
      <c r="I20" s="153">
        <f>I14-I19</f>
        <v>0</v>
      </c>
      <c r="J20" s="152"/>
      <c r="K20" s="111"/>
      <c r="L20" s="111"/>
      <c r="M20" s="111"/>
      <c r="N20" s="111"/>
      <c r="O20" s="111"/>
    </row>
    <row r="21" spans="1:15" ht="22.5" customHeight="1" x14ac:dyDescent="0.25">
      <c r="A21" s="111"/>
      <c r="B21" s="239" t="s">
        <v>178</v>
      </c>
      <c r="C21" s="184"/>
      <c r="D21" s="184"/>
      <c r="E21" s="182"/>
      <c r="F21" s="111"/>
      <c r="G21" s="239" t="s">
        <v>178</v>
      </c>
      <c r="H21" s="184"/>
      <c r="I21" s="184"/>
      <c r="J21" s="182"/>
      <c r="K21" s="111"/>
      <c r="L21" s="111"/>
      <c r="M21" s="111"/>
      <c r="N21" s="111"/>
      <c r="O21" s="111"/>
    </row>
    <row r="22" spans="1:15" ht="17.25" customHeight="1" x14ac:dyDescent="0.25">
      <c r="A22" s="111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</row>
    <row r="23" spans="1:15" ht="17.25" customHeight="1" x14ac:dyDescent="0.2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</row>
    <row r="24" spans="1:15" ht="21.75" customHeight="1" x14ac:dyDescent="0.25">
      <c r="A24" s="111"/>
      <c r="B24" s="240" t="s">
        <v>157</v>
      </c>
      <c r="C24" s="214"/>
      <c r="D24" s="238" t="s">
        <v>25</v>
      </c>
      <c r="E24" s="182"/>
      <c r="F24" s="111"/>
      <c r="G24" s="240" t="s">
        <v>157</v>
      </c>
      <c r="H24" s="214"/>
      <c r="I24" s="238" t="s">
        <v>27</v>
      </c>
      <c r="J24" s="182"/>
      <c r="K24" s="111"/>
      <c r="L24" s="111"/>
      <c r="M24" s="111"/>
      <c r="N24" s="111"/>
      <c r="O24" s="111"/>
    </row>
    <row r="25" spans="1:15" ht="21.75" customHeight="1" x14ac:dyDescent="0.25">
      <c r="A25" s="111"/>
      <c r="B25" s="113" t="s">
        <v>158</v>
      </c>
      <c r="C25" s="114" t="s">
        <v>179</v>
      </c>
      <c r="D25" s="115" t="s">
        <v>160</v>
      </c>
      <c r="E25" s="116" t="s">
        <v>161</v>
      </c>
      <c r="F25" s="111"/>
      <c r="G25" s="113" t="s">
        <v>158</v>
      </c>
      <c r="H25" s="114" t="s">
        <v>180</v>
      </c>
      <c r="I25" s="115" t="s">
        <v>160</v>
      </c>
      <c r="J25" s="154" t="s">
        <v>161</v>
      </c>
      <c r="K25" s="111"/>
      <c r="L25" s="111"/>
      <c r="M25" s="111"/>
      <c r="N25" s="111"/>
      <c r="O25" s="111"/>
    </row>
    <row r="26" spans="1:15" ht="21.75" customHeight="1" x14ac:dyDescent="0.25">
      <c r="A26" s="111"/>
      <c r="B26" s="113" t="s">
        <v>163</v>
      </c>
      <c r="C26" s="114" t="s">
        <v>26</v>
      </c>
      <c r="D26" s="115" t="s">
        <v>9</v>
      </c>
      <c r="E26" s="117">
        <f>'TỔNG LƯƠNG'!D6</f>
        <v>0</v>
      </c>
      <c r="F26" s="111"/>
      <c r="G26" s="113" t="s">
        <v>163</v>
      </c>
      <c r="H26" s="114" t="s">
        <v>26</v>
      </c>
      <c r="I26" s="115" t="s">
        <v>9</v>
      </c>
      <c r="J26" s="155">
        <f>'TỔNG LƯƠNG'!D7</f>
        <v>0</v>
      </c>
      <c r="K26" s="111"/>
      <c r="L26" s="111"/>
      <c r="M26" s="111"/>
      <c r="N26" s="111"/>
      <c r="O26" s="111"/>
    </row>
    <row r="27" spans="1:15" ht="21.75" customHeight="1" x14ac:dyDescent="0.25">
      <c r="A27" s="111"/>
      <c r="B27" s="118" t="s">
        <v>65</v>
      </c>
      <c r="C27" s="119" t="s">
        <v>165</v>
      </c>
      <c r="D27" s="119" t="s">
        <v>166</v>
      </c>
      <c r="E27" s="119" t="s">
        <v>167</v>
      </c>
      <c r="F27" s="111"/>
      <c r="G27" s="118" t="s">
        <v>65</v>
      </c>
      <c r="H27" s="119" t="s">
        <v>165</v>
      </c>
      <c r="I27" s="119" t="s">
        <v>166</v>
      </c>
      <c r="J27" s="119" t="s">
        <v>167</v>
      </c>
      <c r="K27" s="111"/>
      <c r="L27" s="111"/>
      <c r="M27" s="111"/>
      <c r="N27" s="111"/>
      <c r="O27" s="111"/>
    </row>
    <row r="28" spans="1:15" ht="21.75" customHeight="1" x14ac:dyDescent="0.25">
      <c r="A28" s="111"/>
      <c r="B28" s="156" t="s">
        <v>168</v>
      </c>
      <c r="C28" s="121">
        <f>'TỔNG LƯƠNG'!F6</f>
        <v>21</v>
      </c>
      <c r="D28" s="122">
        <f>'TỔNG LƯƠNG'!G6</f>
        <v>0</v>
      </c>
      <c r="E28" s="123"/>
      <c r="F28" s="111"/>
      <c r="G28" s="156" t="s">
        <v>168</v>
      </c>
      <c r="H28" s="121">
        <f>'TỔNG LƯƠNG'!F7</f>
        <v>25</v>
      </c>
      <c r="I28" s="122">
        <f>'TỔNG LƯƠNG'!G7</f>
        <v>0</v>
      </c>
      <c r="J28" s="123"/>
      <c r="K28" s="111"/>
      <c r="L28" s="111"/>
      <c r="M28" s="111"/>
      <c r="N28" s="111"/>
      <c r="O28" s="111"/>
    </row>
    <row r="29" spans="1:15" ht="21.75" customHeight="1" x14ac:dyDescent="0.25">
      <c r="A29" s="111"/>
      <c r="B29" s="130" t="s">
        <v>169</v>
      </c>
      <c r="C29" s="126"/>
      <c r="D29" s="126"/>
      <c r="E29" s="123"/>
      <c r="F29" s="111"/>
      <c r="G29" s="130" t="s">
        <v>169</v>
      </c>
      <c r="H29" s="126"/>
      <c r="I29" s="126"/>
      <c r="J29" s="123"/>
      <c r="K29" s="111"/>
      <c r="L29" s="111"/>
      <c r="M29" s="111"/>
      <c r="N29" s="111"/>
      <c r="O29" s="111"/>
    </row>
    <row r="30" spans="1:15" ht="21.75" customHeight="1" x14ac:dyDescent="0.25">
      <c r="A30" s="111"/>
      <c r="B30" s="130" t="s">
        <v>170</v>
      </c>
      <c r="C30" s="126"/>
      <c r="D30" s="126"/>
      <c r="E30" s="123"/>
      <c r="F30" s="111"/>
      <c r="G30" s="130" t="s">
        <v>170</v>
      </c>
      <c r="H30" s="126"/>
      <c r="I30" s="126"/>
      <c r="J30" s="123"/>
      <c r="K30" s="111"/>
      <c r="L30" s="111"/>
      <c r="M30" s="111"/>
      <c r="N30" s="111"/>
      <c r="O30" s="111"/>
    </row>
    <row r="31" spans="1:15" ht="34.5" customHeight="1" x14ac:dyDescent="0.25">
      <c r="A31" s="111"/>
      <c r="B31" s="130" t="s">
        <v>5</v>
      </c>
      <c r="C31" s="126"/>
      <c r="D31" s="128">
        <f>'TỔNG LƯƠNG'!L6</f>
        <v>0</v>
      </c>
      <c r="E31" s="123" t="s">
        <v>181</v>
      </c>
      <c r="F31" s="111"/>
      <c r="G31" s="130" t="s">
        <v>5</v>
      </c>
      <c r="H31" s="126"/>
      <c r="I31" s="128">
        <f>'TỔNG LƯƠNG'!L7</f>
        <v>0</v>
      </c>
      <c r="J31" s="123" t="s">
        <v>181</v>
      </c>
      <c r="K31" s="111"/>
      <c r="L31" s="111"/>
      <c r="M31" s="111"/>
      <c r="N31" s="111"/>
      <c r="O31" s="111"/>
    </row>
    <row r="32" spans="1:15" ht="32.25" customHeight="1" x14ac:dyDescent="0.25">
      <c r="A32" s="111"/>
      <c r="B32" s="130" t="s">
        <v>14</v>
      </c>
      <c r="C32" s="126"/>
      <c r="D32" s="128">
        <f>'TỔNG LƯƠNG'!I6</f>
        <v>0</v>
      </c>
      <c r="E32" s="123"/>
      <c r="F32" s="111"/>
      <c r="G32" s="130" t="s">
        <v>14</v>
      </c>
      <c r="H32" s="126"/>
      <c r="I32" s="128">
        <f>'TỔNG LƯƠNG'!I7</f>
        <v>0</v>
      </c>
      <c r="J32" s="123"/>
      <c r="K32" s="111"/>
      <c r="L32" s="111"/>
      <c r="M32" s="111"/>
      <c r="N32" s="111"/>
      <c r="O32" s="111"/>
    </row>
    <row r="33" spans="1:15" ht="21.75" customHeight="1" x14ac:dyDescent="0.25">
      <c r="A33" s="111"/>
      <c r="B33" s="130" t="s">
        <v>172</v>
      </c>
      <c r="C33" s="126"/>
      <c r="D33" s="131">
        <f>'TỔNG LƯƠNG'!H6</f>
        <v>0</v>
      </c>
      <c r="E33" s="123"/>
      <c r="F33" s="111"/>
      <c r="G33" s="130" t="s">
        <v>172</v>
      </c>
      <c r="H33" s="126"/>
      <c r="I33" s="131">
        <f>'TỔNG LƯƠNG'!H7</f>
        <v>0</v>
      </c>
      <c r="J33" s="123"/>
      <c r="K33" s="111"/>
      <c r="L33" s="111"/>
      <c r="M33" s="111"/>
      <c r="N33" s="111"/>
      <c r="O33" s="111"/>
    </row>
    <row r="34" spans="1:15" ht="21.75" customHeight="1" x14ac:dyDescent="0.25">
      <c r="A34" s="111"/>
      <c r="B34" s="130" t="s">
        <v>173</v>
      </c>
      <c r="C34" s="133"/>
      <c r="D34" s="131">
        <f>'TỔNG LƯƠNG'!J6</f>
        <v>0</v>
      </c>
      <c r="E34" s="123"/>
      <c r="F34" s="111"/>
      <c r="G34" s="130" t="s">
        <v>173</v>
      </c>
      <c r="H34" s="133"/>
      <c r="I34" s="131">
        <f>'TỔNG LƯƠNG'!J7</f>
        <v>0</v>
      </c>
      <c r="J34" s="123"/>
      <c r="K34" s="111"/>
      <c r="L34" s="111"/>
      <c r="M34" s="111"/>
      <c r="N34" s="111"/>
      <c r="O34" s="111"/>
    </row>
    <row r="35" spans="1:15" ht="21.75" customHeight="1" x14ac:dyDescent="0.25">
      <c r="A35" s="111"/>
      <c r="B35" s="138" t="s">
        <v>174</v>
      </c>
      <c r="C35" s="135"/>
      <c r="D35" s="136">
        <f>SUM(D28:D34)</f>
        <v>0</v>
      </c>
      <c r="E35" s="137"/>
      <c r="F35" s="157"/>
      <c r="G35" s="138" t="s">
        <v>174</v>
      </c>
      <c r="H35" s="135"/>
      <c r="I35" s="136">
        <f>SUM(I28:I34)</f>
        <v>0</v>
      </c>
      <c r="J35" s="137"/>
      <c r="K35" s="111"/>
      <c r="L35" s="111"/>
      <c r="M35" s="111"/>
      <c r="N35" s="111"/>
      <c r="O35" s="111"/>
    </row>
    <row r="36" spans="1:15" ht="21.75" customHeight="1" x14ac:dyDescent="0.25">
      <c r="A36" s="111"/>
      <c r="B36" s="140" t="s">
        <v>20</v>
      </c>
      <c r="C36" s="141"/>
      <c r="D36" s="146">
        <v>0</v>
      </c>
      <c r="E36" s="145" t="s">
        <v>182</v>
      </c>
      <c r="F36" s="157"/>
      <c r="G36" s="140" t="s">
        <v>20</v>
      </c>
      <c r="H36" s="133"/>
      <c r="I36" s="131">
        <v>0</v>
      </c>
      <c r="J36" s="86"/>
      <c r="K36" s="111"/>
      <c r="L36" s="111"/>
      <c r="M36" s="111"/>
      <c r="N36" s="111"/>
      <c r="O36" s="111"/>
    </row>
    <row r="37" spans="1:15" ht="21.75" customHeight="1" x14ac:dyDescent="0.25">
      <c r="A37" s="111"/>
      <c r="B37" s="158" t="s">
        <v>18</v>
      </c>
      <c r="C37" s="141"/>
      <c r="D37" s="159">
        <f>'TỔNG LƯƠNG'!M6</f>
        <v>0</v>
      </c>
      <c r="E37" s="145"/>
      <c r="F37" s="157"/>
      <c r="G37" s="158" t="s">
        <v>18</v>
      </c>
      <c r="H37" s="141"/>
      <c r="I37" s="146">
        <v>0</v>
      </c>
      <c r="J37" s="147"/>
      <c r="K37" s="111"/>
      <c r="L37" s="111"/>
      <c r="M37" s="111"/>
      <c r="N37" s="111"/>
      <c r="O37" s="111"/>
    </row>
    <row r="38" spans="1:15" ht="21.75" customHeight="1" x14ac:dyDescent="0.25">
      <c r="A38" s="111"/>
      <c r="B38" s="158" t="s">
        <v>175</v>
      </c>
      <c r="C38" s="141"/>
      <c r="D38" s="146">
        <v>0</v>
      </c>
      <c r="E38" s="147"/>
      <c r="F38" s="157"/>
      <c r="G38" s="158" t="s">
        <v>175</v>
      </c>
      <c r="H38" s="141"/>
      <c r="I38" s="146">
        <v>0</v>
      </c>
      <c r="J38" s="147"/>
      <c r="K38" s="111"/>
      <c r="L38" s="111"/>
      <c r="M38" s="111"/>
      <c r="N38" s="111"/>
      <c r="O38" s="111"/>
    </row>
    <row r="39" spans="1:15" ht="21.75" customHeight="1" x14ac:dyDescent="0.25">
      <c r="A39" s="111"/>
      <c r="B39" s="158" t="s">
        <v>19</v>
      </c>
      <c r="C39" s="141"/>
      <c r="D39" s="146">
        <v>0</v>
      </c>
      <c r="E39" s="147"/>
      <c r="F39" s="157"/>
      <c r="G39" s="158" t="s">
        <v>19</v>
      </c>
      <c r="H39" s="141"/>
      <c r="I39" s="146">
        <v>0</v>
      </c>
      <c r="J39" s="147"/>
      <c r="K39" s="111"/>
      <c r="L39" s="111"/>
      <c r="M39" s="111"/>
      <c r="N39" s="111"/>
      <c r="O39" s="111"/>
    </row>
    <row r="40" spans="1:15" ht="21.75" customHeight="1" x14ac:dyDescent="0.25">
      <c r="A40" s="111"/>
      <c r="B40" s="138" t="s">
        <v>176</v>
      </c>
      <c r="C40" s="135"/>
      <c r="D40" s="160">
        <f>SUM(D36:D39)</f>
        <v>0</v>
      </c>
      <c r="E40" s="137"/>
      <c r="F40" s="157"/>
      <c r="G40" s="161" t="s">
        <v>176</v>
      </c>
      <c r="H40" s="162"/>
      <c r="I40" s="163">
        <f>SUM(I36:I39)</f>
        <v>0</v>
      </c>
      <c r="J40" s="164"/>
      <c r="K40" s="111"/>
      <c r="L40" s="111"/>
      <c r="M40" s="111"/>
      <c r="N40" s="111"/>
      <c r="O40" s="111"/>
    </row>
    <row r="41" spans="1:15" ht="21.75" customHeight="1" x14ac:dyDescent="0.25">
      <c r="A41" s="111"/>
      <c r="B41" s="165" t="s">
        <v>177</v>
      </c>
      <c r="C41" s="166"/>
      <c r="D41" s="151">
        <f>D35-D40</f>
        <v>0</v>
      </c>
      <c r="E41" s="152"/>
      <c r="F41" s="111"/>
      <c r="G41" s="167" t="s">
        <v>177</v>
      </c>
      <c r="H41" s="168"/>
      <c r="I41" s="169">
        <f>I35-I40</f>
        <v>0</v>
      </c>
      <c r="J41" s="170"/>
      <c r="K41" s="111"/>
      <c r="L41" s="111"/>
      <c r="M41" s="111"/>
      <c r="N41" s="111"/>
      <c r="O41" s="111"/>
    </row>
    <row r="42" spans="1:15" ht="21.75" customHeight="1" x14ac:dyDescent="0.25">
      <c r="A42" s="111"/>
      <c r="B42" s="239" t="s">
        <v>178</v>
      </c>
      <c r="C42" s="184"/>
      <c r="D42" s="184"/>
      <c r="E42" s="182"/>
      <c r="F42" s="111"/>
      <c r="G42" s="239" t="s">
        <v>178</v>
      </c>
      <c r="H42" s="184"/>
      <c r="I42" s="184"/>
      <c r="J42" s="182"/>
      <c r="K42" s="111"/>
      <c r="L42" s="111"/>
      <c r="M42" s="111"/>
      <c r="N42" s="111"/>
      <c r="O42" s="111"/>
    </row>
    <row r="43" spans="1:15" ht="17.25" customHeight="1" x14ac:dyDescent="0.25">
      <c r="A43" s="111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</row>
    <row r="44" spans="1:15" ht="34.5" customHeight="1" x14ac:dyDescent="0.25">
      <c r="A44" s="111"/>
      <c r="B44" s="240" t="s">
        <v>157</v>
      </c>
      <c r="C44" s="214"/>
      <c r="D44" s="241" t="s">
        <v>28</v>
      </c>
      <c r="E44" s="182"/>
      <c r="F44" s="111"/>
      <c r="G44" s="111"/>
      <c r="H44" s="111"/>
      <c r="I44" s="111"/>
      <c r="J44" s="111"/>
      <c r="K44" s="111"/>
      <c r="L44" s="111"/>
      <c r="M44" s="111"/>
      <c r="N44" s="111"/>
      <c r="O44" s="111"/>
    </row>
    <row r="45" spans="1:15" ht="17.25" customHeight="1" x14ac:dyDescent="0.25">
      <c r="A45" s="111"/>
      <c r="B45" s="113" t="s">
        <v>158</v>
      </c>
      <c r="C45" s="114" t="s">
        <v>183</v>
      </c>
      <c r="D45" s="115" t="s">
        <v>160</v>
      </c>
      <c r="E45" s="154" t="s">
        <v>161</v>
      </c>
      <c r="F45" s="111"/>
      <c r="G45" s="111"/>
      <c r="H45" s="111"/>
      <c r="I45" s="111"/>
      <c r="J45" s="111"/>
      <c r="K45" s="111"/>
      <c r="L45" s="111"/>
      <c r="M45" s="111"/>
      <c r="N45" s="111"/>
      <c r="O45" s="111"/>
    </row>
    <row r="46" spans="1:15" ht="17.25" customHeight="1" x14ac:dyDescent="0.25">
      <c r="A46" s="111"/>
      <c r="B46" s="113" t="s">
        <v>163</v>
      </c>
      <c r="C46" s="114" t="s">
        <v>26</v>
      </c>
      <c r="D46" s="115" t="s">
        <v>9</v>
      </c>
      <c r="E46" s="155">
        <f>'TỔNG LƯƠNG'!D8</f>
        <v>0</v>
      </c>
      <c r="F46" s="111"/>
      <c r="G46" s="111"/>
      <c r="H46" s="111"/>
      <c r="I46" s="111"/>
      <c r="J46" s="111"/>
      <c r="K46" s="111"/>
      <c r="L46" s="111"/>
      <c r="M46" s="111"/>
      <c r="N46" s="111"/>
      <c r="O46" s="111"/>
    </row>
    <row r="47" spans="1:15" ht="17.25" customHeight="1" x14ac:dyDescent="0.25">
      <c r="A47" s="111"/>
      <c r="B47" s="118" t="s">
        <v>65</v>
      </c>
      <c r="C47" s="119" t="s">
        <v>165</v>
      </c>
      <c r="D47" s="119" t="s">
        <v>166</v>
      </c>
      <c r="E47" s="119" t="s">
        <v>167</v>
      </c>
      <c r="F47" s="111"/>
      <c r="G47" s="111"/>
      <c r="H47" s="111"/>
      <c r="I47" s="111"/>
      <c r="J47" s="111"/>
      <c r="K47" s="111"/>
      <c r="L47" s="111"/>
      <c r="M47" s="111"/>
      <c r="N47" s="111"/>
      <c r="O47" s="111"/>
    </row>
    <row r="48" spans="1:15" ht="17.25" customHeight="1" x14ac:dyDescent="0.25">
      <c r="A48" s="111"/>
      <c r="B48" s="156" t="s">
        <v>168</v>
      </c>
      <c r="C48" s="121">
        <f>'TỔNG LƯƠNG'!F8</f>
        <v>26</v>
      </c>
      <c r="D48" s="122">
        <f>'TỔNG LƯƠNG'!G8</f>
        <v>0</v>
      </c>
      <c r="E48" s="123"/>
      <c r="F48" s="111"/>
      <c r="G48" s="111"/>
      <c r="H48" s="111"/>
      <c r="I48" s="111"/>
      <c r="J48" s="111"/>
      <c r="K48" s="111"/>
      <c r="L48" s="111"/>
      <c r="M48" s="111"/>
      <c r="N48" s="111"/>
      <c r="O48" s="111"/>
    </row>
    <row r="49" spans="1:15" ht="17.25" customHeight="1" x14ac:dyDescent="0.25">
      <c r="A49" s="111"/>
      <c r="B49" s="130" t="s">
        <v>169</v>
      </c>
      <c r="C49" s="126"/>
      <c r="D49" s="126"/>
      <c r="E49" s="123"/>
      <c r="F49" s="111"/>
      <c r="G49" s="111"/>
      <c r="H49" s="111"/>
      <c r="I49" s="111"/>
      <c r="J49" s="111"/>
      <c r="K49" s="111"/>
      <c r="L49" s="111"/>
      <c r="M49" s="111"/>
      <c r="N49" s="111"/>
      <c r="O49" s="111"/>
    </row>
    <row r="50" spans="1:15" ht="17.25" customHeight="1" x14ac:dyDescent="0.25">
      <c r="A50" s="111"/>
      <c r="B50" s="130" t="s">
        <v>170</v>
      </c>
      <c r="C50" s="126"/>
      <c r="D50" s="126"/>
      <c r="E50" s="123"/>
      <c r="F50" s="111"/>
      <c r="G50" s="111"/>
      <c r="H50" s="111"/>
      <c r="I50" s="111"/>
      <c r="J50" s="111"/>
      <c r="K50" s="111"/>
      <c r="L50" s="111"/>
      <c r="M50" s="111"/>
      <c r="N50" s="111"/>
      <c r="O50" s="111"/>
    </row>
    <row r="51" spans="1:15" ht="35.25" customHeight="1" x14ac:dyDescent="0.25">
      <c r="A51" s="111"/>
      <c r="B51" s="130" t="s">
        <v>5</v>
      </c>
      <c r="C51" s="126"/>
      <c r="D51" s="128">
        <f>'TỔNG LƯƠNG'!L8</f>
        <v>0</v>
      </c>
      <c r="E51" s="123" t="s">
        <v>181</v>
      </c>
      <c r="F51" s="111"/>
      <c r="G51" s="111"/>
      <c r="H51" s="111"/>
      <c r="I51" s="111"/>
      <c r="J51" s="111"/>
      <c r="K51" s="111"/>
      <c r="L51" s="111"/>
      <c r="M51" s="111"/>
      <c r="N51" s="111"/>
      <c r="O51" s="111"/>
    </row>
    <row r="52" spans="1:15" ht="17.25" customHeight="1" x14ac:dyDescent="0.25">
      <c r="A52" s="111"/>
      <c r="B52" s="130" t="s">
        <v>14</v>
      </c>
      <c r="C52" s="126"/>
      <c r="D52" s="128">
        <f>'TỔNG LƯƠNG'!I8</f>
        <v>0</v>
      </c>
      <c r="E52" s="123"/>
      <c r="F52" s="111"/>
      <c r="G52" s="111"/>
      <c r="H52" s="111"/>
      <c r="I52" s="111"/>
      <c r="J52" s="111"/>
      <c r="K52" s="111"/>
      <c r="L52" s="111"/>
      <c r="M52" s="111"/>
      <c r="N52" s="111"/>
      <c r="O52" s="111"/>
    </row>
    <row r="53" spans="1:15" ht="17.25" customHeight="1" x14ac:dyDescent="0.25">
      <c r="A53" s="111"/>
      <c r="B53" s="130" t="s">
        <v>172</v>
      </c>
      <c r="C53" s="126"/>
      <c r="D53" s="131">
        <f>'TỔNG LƯƠNG'!H8</f>
        <v>0</v>
      </c>
      <c r="E53" s="123"/>
      <c r="F53" s="111"/>
      <c r="G53" s="111"/>
      <c r="H53" s="111"/>
      <c r="I53" s="111"/>
      <c r="J53" s="111"/>
      <c r="K53" s="111"/>
      <c r="L53" s="111"/>
      <c r="M53" s="111"/>
      <c r="N53" s="111"/>
      <c r="O53" s="111"/>
    </row>
    <row r="54" spans="1:15" ht="17.25" customHeight="1" x14ac:dyDescent="0.25">
      <c r="A54" s="111"/>
      <c r="B54" s="130" t="s">
        <v>173</v>
      </c>
      <c r="C54" s="133"/>
      <c r="D54" s="131">
        <f>'TỔNG LƯƠNG'!J8</f>
        <v>0</v>
      </c>
      <c r="E54" s="123"/>
      <c r="F54" s="111"/>
      <c r="G54" s="111"/>
      <c r="H54" s="111"/>
      <c r="I54" s="111"/>
      <c r="J54" s="111"/>
      <c r="K54" s="111"/>
      <c r="L54" s="111"/>
      <c r="M54" s="111"/>
      <c r="N54" s="111"/>
      <c r="O54" s="111"/>
    </row>
    <row r="55" spans="1:15" ht="17.25" customHeight="1" x14ac:dyDescent="0.25">
      <c r="A55" s="111"/>
      <c r="B55" s="138" t="s">
        <v>174</v>
      </c>
      <c r="C55" s="135"/>
      <c r="D55" s="136">
        <f>SUM(D48:D54)</f>
        <v>0</v>
      </c>
      <c r="E55" s="137"/>
      <c r="F55" s="111"/>
      <c r="G55" s="111"/>
      <c r="H55" s="111"/>
      <c r="I55" s="111"/>
      <c r="J55" s="111"/>
      <c r="K55" s="111"/>
      <c r="L55" s="111"/>
      <c r="M55" s="111"/>
      <c r="N55" s="111"/>
      <c r="O55" s="111"/>
    </row>
    <row r="56" spans="1:15" ht="31.5" customHeight="1" x14ac:dyDescent="0.25">
      <c r="A56" s="111"/>
      <c r="B56" s="140" t="s">
        <v>20</v>
      </c>
      <c r="C56" s="133"/>
      <c r="D56" s="131">
        <v>0</v>
      </c>
      <c r="E56" s="86"/>
      <c r="F56" s="111"/>
      <c r="G56" s="111"/>
      <c r="H56" s="111"/>
      <c r="I56" s="111"/>
      <c r="J56" s="111"/>
      <c r="K56" s="111"/>
      <c r="L56" s="111"/>
      <c r="M56" s="111"/>
      <c r="N56" s="111"/>
      <c r="O56" s="111"/>
    </row>
    <row r="57" spans="1:15" ht="17.25" customHeight="1" x14ac:dyDescent="0.25">
      <c r="A57" s="111"/>
      <c r="B57" s="158" t="s">
        <v>18</v>
      </c>
      <c r="C57" s="141"/>
      <c r="D57" s="146">
        <v>0</v>
      </c>
      <c r="E57" s="147"/>
      <c r="F57" s="111"/>
      <c r="G57" s="111"/>
      <c r="H57" s="111"/>
      <c r="I57" s="111"/>
      <c r="J57" s="111"/>
      <c r="K57" s="111"/>
      <c r="L57" s="111"/>
      <c r="M57" s="111"/>
      <c r="N57" s="111"/>
      <c r="O57" s="111"/>
    </row>
    <row r="58" spans="1:15" ht="17.25" customHeight="1" x14ac:dyDescent="0.25">
      <c r="A58" s="111"/>
      <c r="B58" s="158" t="s">
        <v>175</v>
      </c>
      <c r="C58" s="141"/>
      <c r="D58" s="146">
        <v>0</v>
      </c>
      <c r="E58" s="147"/>
      <c r="F58" s="111"/>
      <c r="G58" s="111"/>
      <c r="H58" s="111"/>
      <c r="I58" s="111"/>
      <c r="J58" s="111"/>
      <c r="K58" s="111"/>
      <c r="L58" s="111"/>
      <c r="M58" s="111"/>
      <c r="N58" s="111"/>
      <c r="O58" s="111"/>
    </row>
    <row r="59" spans="1:15" ht="17.25" customHeight="1" x14ac:dyDescent="0.25">
      <c r="A59" s="111"/>
      <c r="B59" s="158" t="s">
        <v>19</v>
      </c>
      <c r="C59" s="141"/>
      <c r="D59" s="146">
        <v>0</v>
      </c>
      <c r="E59" s="147"/>
      <c r="F59" s="111"/>
      <c r="G59" s="111"/>
      <c r="H59" s="111"/>
      <c r="I59" s="111"/>
      <c r="J59" s="111"/>
      <c r="K59" s="111"/>
      <c r="L59" s="111"/>
      <c r="M59" s="111"/>
      <c r="N59" s="111"/>
      <c r="O59" s="111"/>
    </row>
    <row r="60" spans="1:15" ht="17.25" customHeight="1" x14ac:dyDescent="0.25">
      <c r="A60" s="111"/>
      <c r="B60" s="161" t="s">
        <v>176</v>
      </c>
      <c r="C60" s="162"/>
      <c r="D60" s="163">
        <f>SUM(D56:D59)</f>
        <v>0</v>
      </c>
      <c r="E60" s="164"/>
      <c r="F60" s="111"/>
      <c r="G60" s="111"/>
      <c r="H60" s="111"/>
      <c r="I60" s="111"/>
      <c r="J60" s="111"/>
      <c r="K60" s="111"/>
      <c r="L60" s="111"/>
      <c r="M60" s="111"/>
      <c r="N60" s="111"/>
      <c r="O60" s="111"/>
    </row>
    <row r="61" spans="1:15" ht="17.25" customHeight="1" x14ac:dyDescent="0.25">
      <c r="A61" s="111"/>
      <c r="B61" s="167" t="s">
        <v>177</v>
      </c>
      <c r="C61" s="168"/>
      <c r="D61" s="169">
        <f>D55-D60</f>
        <v>0</v>
      </c>
      <c r="E61" s="170"/>
      <c r="F61" s="111"/>
      <c r="G61" s="111"/>
      <c r="H61" s="111"/>
      <c r="I61" s="111"/>
      <c r="J61" s="111"/>
      <c r="K61" s="111"/>
      <c r="L61" s="111"/>
      <c r="M61" s="111"/>
      <c r="N61" s="111"/>
      <c r="O61" s="111"/>
    </row>
    <row r="62" spans="1:15" ht="17.25" customHeight="1" x14ac:dyDescent="0.25">
      <c r="A62" s="111"/>
      <c r="B62" s="239" t="s">
        <v>178</v>
      </c>
      <c r="C62" s="184"/>
      <c r="D62" s="184"/>
      <c r="E62" s="182"/>
      <c r="F62" s="111"/>
      <c r="G62" s="111"/>
      <c r="H62" s="111"/>
      <c r="I62" s="111"/>
      <c r="J62" s="111"/>
      <c r="K62" s="111"/>
      <c r="L62" s="111"/>
      <c r="M62" s="111"/>
      <c r="N62" s="111"/>
      <c r="O62" s="111"/>
    </row>
    <row r="63" spans="1:15" ht="17.25" customHeight="1" x14ac:dyDescent="0.25">
      <c r="A63" s="111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</row>
    <row r="64" spans="1:15" ht="17.25" customHeight="1" x14ac:dyDescent="0.25">
      <c r="A64" s="111"/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</row>
    <row r="65" spans="1:15" ht="17.25" customHeight="1" x14ac:dyDescent="0.25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</row>
    <row r="66" spans="1:15" ht="17.25" customHeight="1" x14ac:dyDescent="0.25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</row>
    <row r="67" spans="1:15" ht="17.25" customHeight="1" x14ac:dyDescent="0.25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</row>
    <row r="68" spans="1:15" ht="17.25" customHeight="1" x14ac:dyDescent="0.25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</row>
    <row r="69" spans="1:15" ht="17.25" customHeight="1" x14ac:dyDescent="0.25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</row>
    <row r="70" spans="1:15" ht="17.25" customHeight="1" x14ac:dyDescent="0.25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</row>
    <row r="71" spans="1:15" ht="17.25" customHeight="1" x14ac:dyDescent="0.25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</row>
    <row r="72" spans="1:15" ht="17.25" customHeight="1" x14ac:dyDescent="0.25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</row>
    <row r="73" spans="1:15" ht="17.25" customHeight="1" x14ac:dyDescent="0.25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</row>
    <row r="74" spans="1:15" ht="17.25" customHeight="1" x14ac:dyDescent="0.25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</row>
    <row r="75" spans="1:15" ht="17.25" customHeight="1" x14ac:dyDescent="0.25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</row>
    <row r="76" spans="1:15" ht="17.25" customHeight="1" x14ac:dyDescent="0.25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</row>
    <row r="77" spans="1:15" ht="17.25" customHeight="1" x14ac:dyDescent="0.25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</row>
    <row r="78" spans="1:15" ht="17.25" customHeight="1" x14ac:dyDescent="0.25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</row>
    <row r="79" spans="1:15" ht="17.25" customHeight="1" x14ac:dyDescent="0.25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</row>
    <row r="80" spans="1:15" ht="17.25" customHeight="1" x14ac:dyDescent="0.25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</row>
    <row r="81" spans="1:15" ht="17.25" customHeight="1" x14ac:dyDescent="0.25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</row>
    <row r="82" spans="1:15" ht="17.25" customHeight="1" x14ac:dyDescent="0.25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</row>
    <row r="83" spans="1:15" ht="17.25" customHeight="1" x14ac:dyDescent="0.25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</row>
    <row r="84" spans="1:15" ht="17.25" customHeight="1" x14ac:dyDescent="0.25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</row>
    <row r="85" spans="1:15" ht="17.25" customHeight="1" x14ac:dyDescent="0.25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</row>
    <row r="86" spans="1:15" ht="17.25" customHeight="1" x14ac:dyDescent="0.25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</row>
    <row r="87" spans="1:15" ht="17.25" customHeight="1" x14ac:dyDescent="0.25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</row>
    <row r="88" spans="1:15" ht="17.25" customHeight="1" x14ac:dyDescent="0.25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</row>
    <row r="89" spans="1:15" ht="17.25" customHeight="1" x14ac:dyDescent="0.25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</row>
    <row r="90" spans="1:15" ht="17.25" customHeight="1" x14ac:dyDescent="0.25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</row>
    <row r="91" spans="1:15" ht="17.25" customHeight="1" x14ac:dyDescent="0.25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</row>
    <row r="92" spans="1:15" ht="17.25" customHeight="1" x14ac:dyDescent="0.25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</row>
    <row r="93" spans="1:15" ht="17.25" customHeight="1" x14ac:dyDescent="0.25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</row>
    <row r="94" spans="1:15" ht="17.25" customHeight="1" x14ac:dyDescent="0.25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</row>
    <row r="95" spans="1:15" ht="17.25" customHeight="1" x14ac:dyDescent="0.25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</row>
    <row r="96" spans="1:15" ht="17.25" customHeight="1" x14ac:dyDescent="0.25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</row>
    <row r="97" spans="1:15" ht="17.25" customHeight="1" x14ac:dyDescent="0.25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</row>
    <row r="98" spans="1:15" ht="17.25" customHeight="1" x14ac:dyDescent="0.25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</row>
    <row r="99" spans="1:15" ht="17.25" customHeight="1" x14ac:dyDescent="0.25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</row>
    <row r="100" spans="1:15" ht="17.25" customHeight="1" x14ac:dyDescent="0.25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</row>
  </sheetData>
  <mergeCells count="16">
    <mergeCell ref="B44:C44"/>
    <mergeCell ref="D44:E44"/>
    <mergeCell ref="B62:E62"/>
    <mergeCell ref="B1:J1"/>
    <mergeCell ref="B42:E42"/>
    <mergeCell ref="G42:J42"/>
    <mergeCell ref="G3:H3"/>
    <mergeCell ref="B21:E21"/>
    <mergeCell ref="I3:J3"/>
    <mergeCell ref="G21:J21"/>
    <mergeCell ref="B24:C24"/>
    <mergeCell ref="D24:E24"/>
    <mergeCell ref="G24:H24"/>
    <mergeCell ref="I24:J24"/>
    <mergeCell ref="B3:C3"/>
    <mergeCell ref="D3:E3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TỔNG LƯƠNG</vt:lpstr>
      <vt:lpstr>DOANH THU KỸ THUẬT</vt:lpstr>
      <vt:lpstr>BẢNG CHẤM CÔNG</vt:lpstr>
      <vt:lpstr>DT ĐẠI LÝ</vt:lpstr>
      <vt:lpstr>PHIẾU LƯƠNG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THƯ THƯ</dc:creator>
  <cp:lastModifiedBy>Lan Huong</cp:lastModifiedBy>
  <dcterms:created xsi:type="dcterms:W3CDTF">2025-06-06T08:02:03Z</dcterms:created>
  <dcterms:modified xsi:type="dcterms:W3CDTF">2026-09-27T04:01:23Z</dcterms:modified>
</cp:coreProperties>
</file>